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D14FDE79-AF93-421A-BD9D-E74F61C10FAD}" xr6:coauthVersionLast="47" xr6:coauthVersionMax="47" xr10:uidLastSave="{00000000-0000-0000-0000-000000000000}"/>
  <bookViews>
    <workbookView xWindow="-108" yWindow="-108" windowWidth="23256" windowHeight="13176" firstSheet="2" activeTab="2" xr2:uid="{00000000-000D-0000-FFFF-FFFF00000000}"/>
  </bookViews>
  <sheets>
    <sheet name="total salary by party_clean" sheetId="4" r:id="rId1"/>
    <sheet name="party vs highsalary" sheetId="5" r:id="rId2"/>
    <sheet name="avg president salary" sheetId="6" r:id="rId3"/>
    <sheet name="Working" sheetId="3" r:id="rId4"/>
    <sheet name="US_Presidents Excel Tutorial Da" sheetId="1" r:id="rId5"/>
  </sheets>
  <calcPr calcId="191028"/>
  <pivotCaches>
    <pivotCache cacheId="1173" r:id="rId6"/>
    <pivotCache cacheId="117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7" i="3" l="1"/>
  <c r="L47" i="3" s="1"/>
  <c r="K46" i="3"/>
  <c r="L46" i="3" s="1"/>
  <c r="K45" i="3"/>
  <c r="L45" i="3" s="1"/>
  <c r="K44" i="3"/>
  <c r="L44" i="3" s="1"/>
  <c r="K43" i="3"/>
  <c r="L43" i="3" s="1"/>
  <c r="K42" i="3"/>
  <c r="L42" i="3" s="1"/>
  <c r="K41" i="3"/>
  <c r="L41" i="3" s="1"/>
  <c r="K40" i="3"/>
  <c r="L40" i="3" s="1"/>
  <c r="K39" i="3"/>
  <c r="L39" i="3" s="1"/>
  <c r="K38" i="3"/>
  <c r="L38" i="3" s="1"/>
  <c r="K37" i="3"/>
  <c r="L37" i="3" s="1"/>
  <c r="K36" i="3"/>
  <c r="L36" i="3" s="1"/>
  <c r="K35" i="3"/>
  <c r="L35" i="3" s="1"/>
  <c r="K34" i="3"/>
  <c r="L34" i="3" s="1"/>
  <c r="K33" i="3"/>
  <c r="L33" i="3" s="1"/>
  <c r="K32" i="3"/>
  <c r="L32" i="3" s="1"/>
  <c r="K31" i="3"/>
  <c r="L31" i="3" s="1"/>
  <c r="K30" i="3"/>
  <c r="L30" i="3" s="1"/>
  <c r="K29" i="3"/>
  <c r="L29" i="3" s="1"/>
  <c r="K28" i="3"/>
  <c r="L28" i="3" s="1"/>
  <c r="K27" i="3"/>
  <c r="L27" i="3" s="1"/>
  <c r="K26" i="3"/>
  <c r="L26" i="3" s="1"/>
  <c r="K25" i="3"/>
  <c r="L25" i="3" s="1"/>
  <c r="K24" i="3"/>
  <c r="L24" i="3" s="1"/>
  <c r="K23" i="3"/>
  <c r="L23" i="3" s="1"/>
  <c r="K22" i="3"/>
  <c r="L22" i="3" s="1"/>
  <c r="K21" i="3"/>
  <c r="L21" i="3" s="1"/>
  <c r="K20" i="3"/>
  <c r="L20" i="3" s="1"/>
  <c r="K19" i="3"/>
  <c r="L19" i="3" s="1"/>
  <c r="K18" i="3"/>
  <c r="L18" i="3" s="1"/>
  <c r="K17" i="3"/>
  <c r="L17" i="3" s="1"/>
  <c r="K16" i="3"/>
  <c r="L16" i="3" s="1"/>
  <c r="K15" i="3"/>
  <c r="L15" i="3" s="1"/>
  <c r="K14" i="3"/>
  <c r="L14" i="3" s="1"/>
  <c r="K13" i="3"/>
  <c r="L13" i="3" s="1"/>
  <c r="K12" i="3"/>
  <c r="L12" i="3" s="1"/>
  <c r="K11" i="3"/>
  <c r="L11" i="3" s="1"/>
  <c r="K10" i="3"/>
  <c r="L10" i="3" s="1"/>
  <c r="K9" i="3"/>
  <c r="L9" i="3" s="1"/>
  <c r="K8" i="3"/>
  <c r="L8" i="3" s="1"/>
  <c r="K7" i="3"/>
  <c r="L7" i="3" s="1"/>
  <c r="K6" i="3"/>
  <c r="L6" i="3" s="1"/>
  <c r="P5" i="3"/>
  <c r="K5" i="3"/>
  <c r="L5" i="3" s="1"/>
  <c r="K4" i="3"/>
  <c r="L4" i="3" s="1"/>
  <c r="P3" i="3"/>
  <c r="K3" i="3"/>
  <c r="L3" i="3" s="1"/>
  <c r="P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2" i="3"/>
  <c r="P4" i="3" l="1"/>
  <c r="L2" i="3"/>
</calcChain>
</file>

<file path=xl/sharedStrings.xml><?xml version="1.0" encoding="utf-8"?>
<sst xmlns="http://schemas.openxmlformats.org/spreadsheetml/2006/main" count="525" uniqueCount="187">
  <si>
    <t>party</t>
  </si>
  <si>
    <t>Sum of salary_num_clean</t>
  </si>
  <si>
    <t>Democratic</t>
  </si>
  <si>
    <t>Democratic-  Republican</t>
  </si>
  <si>
    <t>Federalist</t>
  </si>
  <si>
    <t>Nonpartisan</t>
  </si>
  <si>
    <t>Republican</t>
  </si>
  <si>
    <t>Whig</t>
  </si>
  <si>
    <t>Whig   April 4, 1841  -  September 13, 1841</t>
  </si>
  <si>
    <t>Grand Total</t>
  </si>
  <si>
    <t>Count of president_clean</t>
  </si>
  <si>
    <t>HighSalary</t>
  </si>
  <si>
    <t>Party_clean</t>
  </si>
  <si>
    <t>High</t>
  </si>
  <si>
    <t>Normal</t>
  </si>
  <si>
    <t>Democratic- Republican</t>
  </si>
  <si>
    <t>Whig April 4, 1841 - September 13, 1841</t>
  </si>
  <si>
    <t>Average of salary_num_clean</t>
  </si>
  <si>
    <t>S.No.</t>
  </si>
  <si>
    <t>president</t>
  </si>
  <si>
    <t>president_clean</t>
  </si>
  <si>
    <t>prior</t>
  </si>
  <si>
    <t>vice</t>
  </si>
  <si>
    <t>vice_clean</t>
  </si>
  <si>
    <t>salary</t>
  </si>
  <si>
    <t>salary_num_clean</t>
  </si>
  <si>
    <t>date updated</t>
  </si>
  <si>
    <t>date created</t>
  </si>
  <si>
    <t>party_clean</t>
  </si>
  <si>
    <t>total_salary</t>
  </si>
  <si>
    <t>George Washington</t>
  </si>
  <si>
    <t>Commander-in-Chief  of the  Continental Army   ( 1775-1783 )</t>
  </si>
  <si>
    <t>John Adams</t>
  </si>
  <si>
    <t>john adams</t>
  </si>
  <si>
    <t>1st  Vice President of the United States</t>
  </si>
  <si>
    <t>Thomas Jefferson</t>
  </si>
  <si>
    <t>2nd  Vice President of the United States</t>
  </si>
  <si>
    <t xml:space="preserve">    Aaron Burr</t>
  </si>
  <si>
    <t>James Madison</t>
  </si>
  <si>
    <t>5th  United States Secretary of State   (1801-1809)</t>
  </si>
  <si>
    <t>George    Clinton</t>
  </si>
  <si>
    <t>JAMES MONROE</t>
  </si>
  <si>
    <t>James Monroe</t>
  </si>
  <si>
    <t>7th  United States Secretary of State   (1811-1817)</t>
  </si>
  <si>
    <t>Daniel D. Tompkins</t>
  </si>
  <si>
    <t>John Quincy Adams</t>
  </si>
  <si>
    <t>8th  United States Secretary of State   (1817-1825)</t>
  </si>
  <si>
    <t>John C. Calhoun</t>
  </si>
  <si>
    <t>Andrew Jackson</t>
  </si>
  <si>
    <t>U.S. Senator   ( Class 2 )   from  Tennessee   (1823-1825)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</si>
  <si>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</si>
  <si>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</si>
  <si>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</si>
  <si>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</si>
  <si>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</si>
  <si>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(1828-1829)</t>
  </si>
  <si>
    <t>John Tyler</t>
  </si>
  <si>
    <t>john tyler</t>
  </si>
  <si>
    <t>10th  Vice President of the United States</t>
  </si>
  <si>
    <t>Office vacant</t>
  </si>
  <si>
    <t>James K. Polk</t>
  </si>
  <si>
    <t>9th  Governor of Tennessee   (1839-1841)</t>
  </si>
  <si>
    <t>George         M. Dallas</t>
  </si>
  <si>
    <t>Zachary Taylor</t>
  </si>
  <si>
    <t>Major General  of the  1st Infantry Regiment   United States Army   (1846-1849)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</si>
  <si>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</si>
  <si>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</si>
  <si>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</si>
  <si>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</si>
  <si>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(1847-1848)</t>
  </si>
  <si>
    <t>William R. King</t>
  </si>
  <si>
    <t>James Buchanan</t>
  </si>
  <si>
    <t>United States Minister  to the   Court of St James's   (1853-1856)</t>
  </si>
  <si>
    <t>John C. Breckinridge</t>
  </si>
  <si>
    <t>Abraham Lincoln</t>
  </si>
  <si>
    <t>U.S. Representative  for  Illinois' 7th District   (1847-1849)</t>
  </si>
  <si>
    <t>Hannibal Hamlin</t>
  </si>
  <si>
    <t>Andrew Johnson</t>
  </si>
  <si>
    <t>16th  Vice President of the United States</t>
  </si>
  <si>
    <t>Ulysses S. Grant</t>
  </si>
  <si>
    <t>Commanding General  of the U.S. Army   ( 1864-1869 )</t>
  </si>
  <si>
    <t>Schuyler Colfax</t>
  </si>
  <si>
    <t>Rutherford B. Hayes</t>
  </si>
  <si>
    <t>29th &amp; 32nd  Governor of Ohio   (1868-1872 &amp; 1876-1877)</t>
  </si>
  <si>
    <t>William A. Wheeler</t>
  </si>
  <si>
    <t>James A. Garfield</t>
  </si>
  <si>
    <t>U.S. Representative  for  Ohio's 19th District   (1863-1881)</t>
  </si>
  <si>
    <t>Chester A. Arthur</t>
  </si>
  <si>
    <t>20th  Vice President of the United States</t>
  </si>
  <si>
    <t>Grover Cleveland</t>
  </si>
  <si>
    <t>28th  Governor of New York   (1883-1885)</t>
  </si>
  <si>
    <t>Thomas A. Hendricks</t>
  </si>
  <si>
    <t>Benjamin Harrison</t>
  </si>
  <si>
    <t>U.S. Senator   ( Class 1 )   from  Indiana   (1881-1887)</t>
  </si>
  <si>
    <t>Levi P. Morton</t>
  </si>
  <si>
    <t>22nd  President of the United States   (1885-1889)</t>
  </si>
  <si>
    <t>Adlai Stevenson</t>
  </si>
  <si>
    <t>William McKinley</t>
  </si>
  <si>
    <t>William Mckinley</t>
  </si>
  <si>
    <t>39th  Governor of Ohio   (1892-1896)</t>
  </si>
  <si>
    <t>Garret Hobart</t>
  </si>
  <si>
    <t>Theodore Roosevelt</t>
  </si>
  <si>
    <t>25th  Vice President of the United States</t>
  </si>
  <si>
    <t>William Howard Taft</t>
  </si>
  <si>
    <t>42nd  United States Secretary of War   (1904-1908)</t>
  </si>
  <si>
    <t>James S. Sherman</t>
  </si>
  <si>
    <t>Woodrow Wilson</t>
  </si>
  <si>
    <t>34th  Governor of New Jersey   (1911-1913)</t>
  </si>
  <si>
    <t>Thomas R. Marshall</t>
  </si>
  <si>
    <t>Warren G. Harding</t>
  </si>
  <si>
    <t>U.S. Senator   ( Class 3 )   from  Ohio   (1915-1921)</t>
  </si>
  <si>
    <t>Calvin Coolidge</t>
  </si>
  <si>
    <t>29th  Vice President of the United States</t>
  </si>
  <si>
    <t>Herbert Hoover</t>
  </si>
  <si>
    <t>3rd  United States Secretary of Commerce   (1921-1928)</t>
  </si>
  <si>
    <t>Charles Curtis</t>
  </si>
  <si>
    <t>Franklin D. Roosevelt</t>
  </si>
  <si>
    <t>44th  Governor of New York   ( 1929-1932 )</t>
  </si>
  <si>
    <t>John Nance Garner</t>
  </si>
  <si>
    <t>Harry S. Truman</t>
  </si>
  <si>
    <t>34th  Vice President of the United States</t>
  </si>
  <si>
    <t>Dwight D. Eisenhower</t>
  </si>
  <si>
    <t>Supreme Allied Commander Europe   ( 1949-1952 )</t>
  </si>
  <si>
    <t>Richard Nixon</t>
  </si>
  <si>
    <t>John F. Kennedy</t>
  </si>
  <si>
    <t>U.S. Senator   ( Class 1 )   from  Massachusetts   (1953-1960)</t>
  </si>
  <si>
    <t>Lyndon B. Johnson</t>
  </si>
  <si>
    <t>37th  Vice President of the United States</t>
  </si>
  <si>
    <t>36th  Vice President of the United States   (1953-1961)</t>
  </si>
  <si>
    <t>Spiro Agnew</t>
  </si>
  <si>
    <t>Gerald Ford</t>
  </si>
  <si>
    <t>40th  Vice President of the United States</t>
  </si>
  <si>
    <t>Jimmy Carter</t>
  </si>
  <si>
    <t>76th  Governor of Georgia   (1971-1975)</t>
  </si>
  <si>
    <t>Walter Mondale</t>
  </si>
  <si>
    <t>Ronald Reagan</t>
  </si>
  <si>
    <t>33rd  Governor of California   ( 1967-1975 )</t>
  </si>
  <si>
    <t>George H. W. Bush</t>
  </si>
  <si>
    <t>43rd  Vice President of the United States</t>
  </si>
  <si>
    <t>Dan Quayle</t>
  </si>
  <si>
    <t>Bill Clinton</t>
  </si>
  <si>
    <t>40th &amp; 42nd  Governor of Arkansas   (1979-1981 &amp; 1983-1992)</t>
  </si>
  <si>
    <t>Al Gore</t>
  </si>
  <si>
    <t>George W. Bush</t>
  </si>
  <si>
    <t>46th  Governor of Texas   ( 1995-2000 )</t>
  </si>
  <si>
    <t>Dick Cheney</t>
  </si>
  <si>
    <t>Barack Obama</t>
  </si>
  <si>
    <t>U.S. Senator   ( Class 3 )   from  Illinois   ( 2005-2008 )</t>
  </si>
  <si>
    <t>Joe Biden</t>
  </si>
  <si>
    <t>Donald Trump</t>
  </si>
  <si>
    <t>Chairman of   The Trump Organization   ( 1971-present )</t>
  </si>
  <si>
    <t>Mike Pence</t>
  </si>
  <si>
    <t>Commander-in-Chief  of the  Continental Army   ( 1775â€“1783 )</t>
  </si>
  <si>
    <t>5th  United States Secretary of State   (1801â€“1809)</t>
  </si>
  <si>
    <t>7th  United States Secretary of State   (1811â€“1817)</t>
  </si>
  <si>
    <t>8th  United States Secretary of State   (1817â€“1825)</t>
  </si>
  <si>
    <t>U.S. Senator   ( Class 2 )   from  Tennessee   (1823â€“1825)</t>
  </si>
  <si>
    <t>United States Minister to Colombia   (1828â€“1829)</t>
  </si>
  <si>
    <t>Whig   April 4, 1841  â€“  September 13, 1841</t>
  </si>
  <si>
    <t>9th  Governor of Tennessee   (1839â€“1841)</t>
  </si>
  <si>
    <t>Major General  of the  1st Infantry Regiment   United States Army   (1846â€“1849)</t>
  </si>
  <si>
    <t>Brigadier General  of the  9th Infantry   United States Army   (1847â€“1848)</t>
  </si>
  <si>
    <t>United States Minister  to the   Court of St James's   (1853â€“1856)</t>
  </si>
  <si>
    <t>U.S. Representative  for  Illinois' 7th District   (1847â€“1849)</t>
  </si>
  <si>
    <t>Commanding General  of the U.S. Army   ( 1864â€“1869 )</t>
  </si>
  <si>
    <t>29th &amp; 32nd  Governor of Ohio   (1868â€“1872 &amp; 1876â€“1877)</t>
  </si>
  <si>
    <t>U.S. Representative  for  Ohio's 19th District   (1863â€“1881)</t>
  </si>
  <si>
    <t>28th  Governor of New York   (1883â€“1885)</t>
  </si>
  <si>
    <t>U.S. Senator   ( Class 1 )   from  Indiana   (1881â€“1887)</t>
  </si>
  <si>
    <t>22nd  President of the United States   (1885â€“1889)</t>
  </si>
  <si>
    <t>39th  Governor of Ohio   (1892â€“1896)</t>
  </si>
  <si>
    <t>42nd  United States Secretary of War   (1904â€“1908)</t>
  </si>
  <si>
    <t>34th  Governor of New Jersey   (1911â€“1913)</t>
  </si>
  <si>
    <t>Demorcatic</t>
  </si>
  <si>
    <t>U.S. Senator   ( Class 3 )   from  Ohio   (1915â€“1921)</t>
  </si>
  <si>
    <t>3rd  United States Secretary of Commerce   (1921â€“1928)</t>
  </si>
  <si>
    <t>44th  Governor of New York   ( 1929â€“1932 )</t>
  </si>
  <si>
    <t>Supreme Allied Commander Europe   ( 1949â€“1952 )</t>
  </si>
  <si>
    <t>U.S. Senator   ( Class 1 )   from  Massachusetts   (1953â€“1960)</t>
  </si>
  <si>
    <t>36th  Vice President of the United States   (1953â€“1961)</t>
  </si>
  <si>
    <t>76th  Governor of Georgia   (1971â€“1975)</t>
  </si>
  <si>
    <t>33rd  Governor of California   ( 1967â€“1975 )</t>
  </si>
  <si>
    <t>40th &amp; 42nd  Governor of Arkansas   (1979â€“1981 &amp; 1983â€“1992)</t>
  </si>
  <si>
    <t>46th  Governor of Texas   ( 1995â€“2000 )</t>
  </si>
  <si>
    <t>U.S. Senator   ( Class 3 )   from  Illinois   ( 2005â€“2008 )</t>
  </si>
  <si>
    <t>Chairman of   The Trump Organization   ( 1971â€“present )</t>
  </si>
  <si>
    <t>Republicans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</si>
</sst>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/>
    <xf numFmtId="49" fontId="0" fillId="0" borderId="0" xfId="0" applyNumberFormat="1" applyAlignment="1"/>
    <xf numFmtId="165" fontId="0" fillId="0" borderId="0" xfId="0" applyNumberFormat="1" applyAlignment="1"/>
    <xf numFmtId="14" fontId="0" fillId="0" borderId="0" xfId="0" applyNumberFormat="1" applyAlignment="1"/>
    <xf numFmtId="164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6.975607754626" createdVersion="8" refreshedVersion="8" minRefreshableVersion="3" recordCount="46" xr:uid="{2F9BFD41-9296-4EFE-9C13-50F4FEBAE2F4}">
  <cacheSource type="worksheet">
    <worksheetSource ref="B1:N47" sheet="Working"/>
  </cacheSource>
  <cacheFields count="13">
    <cacheField name="S.No." numFmtId="0">
      <sharedItems containsSemiMixedTypes="0" containsString="0" containsNumber="1" containsInteger="1" minValue="1" maxValue="45"/>
    </cacheField>
    <cacheField name="president" numFmtId="0">
      <sharedItems/>
    </cacheField>
    <cacheField name="president_clean" numFmtId="0">
      <sharedItems/>
    </cacheField>
    <cacheField name="prior" numFmtId="0">
      <sharedItems/>
    </cacheField>
    <cacheField name="party" numFmtId="0">
      <sharedItems count="7">
        <s v="Nonpartisan"/>
        <s v="Federalist"/>
        <s v="Democratic-  Republican"/>
        <s v="Democratic"/>
        <s v="Whig"/>
        <s v="Whig   April 4, 1841  -  September 13, 1841"/>
        <s v="Republican"/>
      </sharedItems>
    </cacheField>
    <cacheField name="epu" numFmtId="0">
      <sharedItems/>
    </cacheField>
    <cacheField name="vice" numFmtId="0">
      <sharedItems/>
    </cacheField>
    <cacheField name="vice_clean" numFmtId="0">
      <sharedItems/>
    </cacheField>
    <cacheField name="salary" numFmtId="165">
      <sharedItems containsSemiMixedTypes="0" containsString="0" containsNumber="1" containsInteger="1" minValue="5000" maxValue="405000"/>
    </cacheField>
    <cacheField name="salary_num_clean" numFmtId="165">
      <sharedItems containsSemiMixedTypes="0" containsString="0" containsNumber="1" containsInteger="1" minValue="5000" maxValue="405000"/>
    </cacheField>
    <cacheField name="HighSalary" numFmtId="165">
      <sharedItems/>
    </cacheField>
    <cacheField name="date updated" numFmtId="0">
      <sharedItems containsSemiMixedTypes="0" containsNonDate="0" containsDate="1" containsString="0" minDate="2021-07-14T00:00:00" maxDate="2021-07-15T00:00:00"/>
    </cacheField>
    <cacheField name="date created" numFmtId="0">
      <sharedItems containsSemiMixedTypes="0" containsNonDate="0" containsDate="1" containsString="0" minDate="2012-03-04T00:00:00" maxDate="2020-02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6.977397453702" createdVersion="8" refreshedVersion="8" minRefreshableVersion="3" recordCount="46" xr:uid="{A9A8A7C9-BC89-4DDC-BC42-2B8F9058780A}">
  <cacheSource type="worksheet">
    <worksheetSource ref="B1:P47" sheet="Working"/>
  </cacheSource>
  <cacheFields count="15">
    <cacheField name="S.No." numFmtId="0">
      <sharedItems containsSemiMixedTypes="0" containsString="0" containsNumber="1" containsInteger="1" minValue="1" maxValue="45"/>
    </cacheField>
    <cacheField name="president" numFmtId="0">
      <sharedItems/>
    </cacheField>
    <cacheField name="president_clean" numFmtId="0">
      <sharedItems/>
    </cacheField>
    <cacheField name="prior" numFmtId="0">
      <sharedItems/>
    </cacheField>
    <cacheField name="party" numFmtId="0">
      <sharedItems/>
    </cacheField>
    <cacheField name="Party_clean" numFmtId="0">
      <sharedItems count="7">
        <s v="Nonpartisan"/>
        <s v="Federalist"/>
        <s v="Democratic- Republican"/>
        <s v="Democratic"/>
        <s v="Whig"/>
        <s v="Whig April 4, 1841 - September 13, 1841"/>
        <s v="Republican"/>
      </sharedItems>
    </cacheField>
    <cacheField name="vice" numFmtId="0">
      <sharedItems/>
    </cacheField>
    <cacheField name="vice_clean" numFmtId="0">
      <sharedItems/>
    </cacheField>
    <cacheField name="salary" numFmtId="165">
      <sharedItems containsSemiMixedTypes="0" containsString="0" containsNumber="1" containsInteger="1" minValue="5000" maxValue="405000"/>
    </cacheField>
    <cacheField name="salary_num_clean" numFmtId="165">
      <sharedItems containsSemiMixedTypes="0" containsString="0" containsNumber="1" containsInteger="1" minValue="5000" maxValue="405000"/>
    </cacheField>
    <cacheField name="HighSalary" numFmtId="165">
      <sharedItems count="2">
        <s v="Normal"/>
        <s v="High"/>
      </sharedItems>
    </cacheField>
    <cacheField name="date updated" numFmtId="0">
      <sharedItems containsSemiMixedTypes="0" containsNonDate="0" containsDate="1" containsString="0" minDate="2021-07-14T00:00:00" maxDate="2021-07-15T00:00:00"/>
    </cacheField>
    <cacheField name="date created" numFmtId="0">
      <sharedItems containsSemiMixedTypes="0" containsNonDate="0" containsDate="1" containsString="0" minDate="2012-03-04T00:00:00" maxDate="2020-02-02T00:00:00"/>
    </cacheField>
    <cacheField name="party_clean2" numFmtId="0">
      <sharedItems containsBlank="1"/>
    </cacheField>
    <cacheField name="total_salary" numFmtId="165">
      <sharedItems containsString="0" containsBlank="1" containsNumber="1" containsInteger="1" minValue="5000" maxValue="450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1"/>
    <s v="George Washington"/>
    <s v="George Washington"/>
    <s v="Commander-in-Chief  of the  Continental Army   ( 1775-1783 )"/>
    <x v="0"/>
    <s v="Nonpartisan"/>
    <s v="John Adams"/>
    <s v="John Adams"/>
    <n v="5000"/>
    <n v="5000"/>
    <s v="Normal"/>
    <d v="2021-07-14T00:00:00"/>
    <d v="2012-03-04T00:00:00"/>
  </r>
  <r>
    <n v="2"/>
    <s v="john adams"/>
    <s v="John Adams"/>
    <s v="1st  Vice President of the United States"/>
    <x v="1"/>
    <s v="Federalist"/>
    <s v="Thomas Jefferson"/>
    <s v="Thomas Jefferson"/>
    <n v="10000"/>
    <n v="10000"/>
    <s v="Normal"/>
    <d v="2021-07-14T00:00:00"/>
    <d v="2012-03-04T00:00:00"/>
  </r>
  <r>
    <n v="3"/>
    <s v="Thomas Jefferson"/>
    <s v="Thomas Jefferson"/>
    <s v="2nd  Vice President of the United States"/>
    <x v="2"/>
    <s v="Democratic- Republican"/>
    <s v="    Aaron Burr"/>
    <s v="Aaron Burr"/>
    <n v="15000"/>
    <n v="15000"/>
    <s v="Normal"/>
    <d v="2021-07-14T00:00:00"/>
    <d v="2012-03-04T00:00:00"/>
  </r>
  <r>
    <n v="4"/>
    <s v="James Madison"/>
    <s v="James Madison"/>
    <s v="5th  United States Secretary of State   (1801-1809)"/>
    <x v="2"/>
    <s v="Democratic- Republican"/>
    <s v="George    Clinton"/>
    <s v="George Clinton"/>
    <n v="20000"/>
    <n v="20000"/>
    <s v="Normal"/>
    <d v="2021-07-14T00:00:00"/>
    <d v="2012-03-04T00:00:00"/>
  </r>
  <r>
    <n v="5"/>
    <s v="JAMES MONROE"/>
    <s v="James Monroe"/>
    <s v="7th  United States Secretary of State   (1811-1817)"/>
    <x v="2"/>
    <s v="Democratic- Republican"/>
    <s v="Daniel D. Tompkins"/>
    <s v="Daniel D. Tompkins"/>
    <n v="25000"/>
    <n v="25000"/>
    <s v="Normal"/>
    <d v="2021-07-14T00:00:00"/>
    <d v="2012-03-04T00:00:00"/>
  </r>
  <r>
    <n v="6"/>
    <s v="John Quincy Adams"/>
    <s v="John Quincy Adams"/>
    <s v="8th  United States Secretary of State   (1817-1825)"/>
    <x v="2"/>
    <s v="Democratic- Republican"/>
    <s v="John C. Calhoun"/>
    <s v="John C. Calhoun"/>
    <n v="30000"/>
    <n v="30000"/>
    <s v="Normal"/>
    <d v="2021-07-14T00:00:00"/>
    <d v="2012-03-04T00:00:00"/>
  </r>
  <r>
    <n v="7"/>
    <s v="Andrew Jackson"/>
    <s v="Andrew Jackson"/>
    <s v="U.S. Senator   ( Class 2 )   from  Tennessee   (1823-1825)"/>
    <x v="3"/>
    <s v="Democratic"/>
    <s v="John C.     Calhoun"/>
    <s v="John C. Calhoun"/>
    <n v="35000"/>
    <n v="35000"/>
    <s v="Normal"/>
    <d v="2021-07-14T00:00:00"/>
    <d v="2012-03-04T00:00:00"/>
  </r>
  <r>
    <n v="8"/>
    <s v="Martin Van Buren"/>
    <s v="Martin Van Buren"/>
    <s v="8th  Vice President of the United States"/>
    <x v="3"/>
    <s v="Democratic"/>
    <s v="Richard Mentor Johnson"/>
    <s v="Richard Mentor Johnson"/>
    <n v="40000"/>
    <n v="40000"/>
    <s v="Normal"/>
    <d v="2021-07-14T00:00:00"/>
    <d v="2012-03-04T00:00:00"/>
  </r>
  <r>
    <n v="9"/>
    <s v="William Henry Harrison"/>
    <s v="William Henry Harrison"/>
    <s v="United States Minister to Colombia   (1828-1829)"/>
    <x v="4"/>
    <s v="Whig"/>
    <s v="John Tyler"/>
    <s v="John Tyler"/>
    <n v="45000"/>
    <n v="45000"/>
    <s v="Normal"/>
    <d v="2021-07-14T00:00:00"/>
    <d v="2012-03-04T00:00:00"/>
  </r>
  <r>
    <n v="10"/>
    <s v="john tyler"/>
    <s v="John Tyler"/>
    <s v="10th  Vice President of the United States"/>
    <x v="5"/>
    <s v="Whig April 4, 1841 - September 13, 1841"/>
    <s v="Office vacant"/>
    <s v="Office Vacant"/>
    <n v="50000"/>
    <n v="50000"/>
    <s v="Normal"/>
    <d v="2021-07-14T00:00:00"/>
    <d v="2012-03-04T00:00:00"/>
  </r>
  <r>
    <n v="11"/>
    <s v="James K. Polk"/>
    <s v="James K. Polk"/>
    <s v="9th  Governor of Tennessee   (1839-1841)"/>
    <x v="3"/>
    <s v="Democratic"/>
    <s v="George         M. Dallas"/>
    <s v="George M. Dallas"/>
    <n v="55000"/>
    <n v="55000"/>
    <s v="Normal"/>
    <d v="2021-07-14T00:00:00"/>
    <d v="2012-03-04T00:00:00"/>
  </r>
  <r>
    <n v="12"/>
    <s v="Zachary Taylor"/>
    <s v="Zachary Taylor"/>
    <s v="Major General  of the  1st Infantry Regiment   United States Army   (1846-1849)"/>
    <x v="4"/>
    <s v="Whig"/>
    <s v="               Millard Fillmore"/>
    <s v="Millard Fillmore"/>
    <n v="60000"/>
    <n v="60000"/>
    <s v="Normal"/>
    <d v="2021-07-14T00:00:00"/>
    <d v="2012-03-04T00:00:00"/>
  </r>
  <r>
    <n v="13"/>
    <s v="Millard Fillmore"/>
    <s v="Millard Fillmore"/>
    <s v="12th  Vice President of the United States"/>
    <x v="4"/>
    <s v="Whig"/>
    <s v="Office vacant"/>
    <s v="Office Vacant"/>
    <n v="65000"/>
    <n v="65000"/>
    <s v="Normal"/>
    <d v="2021-07-14T00:00:00"/>
    <d v="2012-03-04T00:00:00"/>
  </r>
  <r>
    <n v="14"/>
    <s v="Franklin Pierce"/>
    <s v="Franklin Pierce"/>
    <s v="Brigadier General  of the  9th Infantry   United States Army   (1847-1848)"/>
    <x v="3"/>
    <s v="Democratic"/>
    <s v="William R. King"/>
    <s v="William R. King"/>
    <n v="75000"/>
    <n v="75000"/>
    <s v="Normal"/>
    <d v="2021-07-14T00:00:00"/>
    <d v="2012-03-04T00:00:00"/>
  </r>
  <r>
    <n v="15"/>
    <s v="James Buchanan"/>
    <s v="James Buchanan"/>
    <s v="United States Minister  to the   Court of St James's   (1853-1856)"/>
    <x v="3"/>
    <s v="Democratic"/>
    <s v="John C. Breckinridge"/>
    <s v="John C. Breckinridge"/>
    <n v="85000"/>
    <n v="85000"/>
    <s v="Normal"/>
    <d v="2021-07-14T00:00:00"/>
    <d v="2012-03-04T00:00:00"/>
  </r>
  <r>
    <n v="16"/>
    <s v="Abraham Lincoln"/>
    <s v="Abraham Lincoln"/>
    <s v="U.S. Representative  for  Illinois' 7th District   (1847-1849)"/>
    <x v="6"/>
    <s v="Republican"/>
    <s v="Hannibal Hamlin"/>
    <s v="Hannibal Hamlin"/>
    <n v="95000"/>
    <n v="95000"/>
    <s v="Normal"/>
    <d v="2021-07-14T00:00:00"/>
    <d v="2012-03-04T00:00:00"/>
  </r>
  <r>
    <n v="17"/>
    <s v="Andrew Johnson"/>
    <s v="Andrew Johnson"/>
    <s v="16th  Vice President of the United States"/>
    <x v="3"/>
    <s v="Democratic"/>
    <s v="Office vacant"/>
    <s v="Office Vacant"/>
    <n v="105000"/>
    <n v="105000"/>
    <s v="Normal"/>
    <d v="2021-07-14T00:00:00"/>
    <d v="2012-03-04T00:00:00"/>
  </r>
  <r>
    <n v="18"/>
    <s v="Ulysses S. Grant"/>
    <s v="Ulysses S. Grant"/>
    <s v="Commanding General  of the U.S. Army   ( 1864-1869 )"/>
    <x v="6"/>
    <s v="Republican"/>
    <s v="Schuyler Colfax"/>
    <s v="Schuyler Colfax"/>
    <n v="115000"/>
    <n v="115000"/>
    <s v="Normal"/>
    <d v="2021-07-14T00:00:00"/>
    <d v="2012-03-04T00:00:00"/>
  </r>
  <r>
    <n v="19"/>
    <s v="Rutherford B. Hayes"/>
    <s v="Rutherford B. Hayes"/>
    <s v="29th &amp; 32nd  Governor of Ohio   (1868-1872 &amp; 1876-1877)"/>
    <x v="6"/>
    <s v="Republican"/>
    <s v="William A. Wheeler"/>
    <s v="William A. Wheeler"/>
    <n v="125000"/>
    <n v="125000"/>
    <s v="Normal"/>
    <d v="2021-07-14T00:00:00"/>
    <d v="2012-03-04T00:00:00"/>
  </r>
  <r>
    <n v="20"/>
    <s v="James A. Garfield"/>
    <s v="James A. Garfield"/>
    <s v="U.S. Representative  for  Ohio's 19th District   (1863-1881)"/>
    <x v="6"/>
    <s v="Republican"/>
    <s v="Chester A. Arthur"/>
    <s v="Chester A. Arthur"/>
    <n v="135000"/>
    <n v="135000"/>
    <s v="Normal"/>
    <d v="2021-07-14T00:00:00"/>
    <d v="2012-03-04T00:00:00"/>
  </r>
  <r>
    <n v="21"/>
    <s v="Chester A. Arthur"/>
    <s v="Chester A. Arthur"/>
    <s v="20th  Vice President of the United States"/>
    <x v="6"/>
    <s v="Republican"/>
    <s v="Office vacant"/>
    <s v="Office Vacant"/>
    <n v="145000"/>
    <n v="145000"/>
    <s v="Normal"/>
    <d v="2021-07-14T00:00:00"/>
    <d v="2012-03-04T00:00:00"/>
  </r>
  <r>
    <n v="22"/>
    <s v="Grover Cleveland"/>
    <s v="Grover Cleveland"/>
    <s v="28th  Governor of New York   (1883-1885)"/>
    <x v="3"/>
    <s v="Democratic"/>
    <s v="Thomas A. Hendricks"/>
    <s v="Thomas A. Hendricks"/>
    <n v="155000"/>
    <n v="155000"/>
    <s v="Normal"/>
    <d v="2021-07-14T00:00:00"/>
    <d v="2012-03-04T00:00:00"/>
  </r>
  <r>
    <n v="23"/>
    <s v="Benjamin Harrison"/>
    <s v="Benjamin Harrison"/>
    <s v="U.S. Senator   ( Class 1 )   from  Indiana   (1881-1887)"/>
    <x v="6"/>
    <s v="Republican"/>
    <s v="Levi P. Morton"/>
    <s v="Levi P. Morton"/>
    <n v="165000"/>
    <n v="165000"/>
    <s v="Normal"/>
    <d v="2021-07-14T00:00:00"/>
    <d v="2012-03-04T00:00:00"/>
  </r>
  <r>
    <n v="24"/>
    <s v="Grover Cleveland"/>
    <s v="Grover Cleveland"/>
    <s v="22nd  President of the United States   (1885-1889)"/>
    <x v="3"/>
    <s v="Democratic"/>
    <s v="Adlai Stevenson"/>
    <s v="Adlai Stevenson"/>
    <n v="175000"/>
    <n v="175000"/>
    <s v="Normal"/>
    <d v="2021-07-14T00:00:00"/>
    <d v="2012-03-04T00:00:00"/>
  </r>
  <r>
    <n v="25"/>
    <s v="William McKinley"/>
    <s v="William Mckinley"/>
    <s v="39th  Governor of Ohio   (1892-1896)"/>
    <x v="6"/>
    <s v="Republican"/>
    <s v="Garret Hobart"/>
    <s v="Garret Hobart"/>
    <n v="185000"/>
    <n v="185000"/>
    <s v="Normal"/>
    <d v="2021-07-14T00:00:00"/>
    <d v="2012-03-04T00:00:00"/>
  </r>
  <r>
    <n v="26"/>
    <s v="Theodore Roosevelt"/>
    <s v="Theodore Roosevelt"/>
    <s v="25th  Vice President of the United States"/>
    <x v="6"/>
    <s v="Republican"/>
    <s v="Office vacant"/>
    <s v="Office Vacant"/>
    <n v="195000"/>
    <n v="195000"/>
    <s v="Normal"/>
    <d v="2021-07-14T00:00:00"/>
    <d v="2012-03-04T00:00:00"/>
  </r>
  <r>
    <n v="27"/>
    <s v="William Howard Taft"/>
    <s v="William Howard Taft"/>
    <s v="42nd  United States Secretary of War   (1904-1908)"/>
    <x v="6"/>
    <s v="Republican"/>
    <s v="James S. Sherman"/>
    <s v="James S. Sherman"/>
    <n v="205000"/>
    <n v="205000"/>
    <s v="High"/>
    <d v="2021-07-14T00:00:00"/>
    <d v="2012-03-04T00:00:00"/>
  </r>
  <r>
    <n v="28"/>
    <s v="Woodrow Wilson"/>
    <s v="Woodrow Wilson"/>
    <s v="34th  Governor of New Jersey   (1911-1913)"/>
    <x v="3"/>
    <s v="Democratic"/>
    <s v="Thomas R. Marshall"/>
    <s v="Thomas R. Marshall"/>
    <n v="225000"/>
    <n v="225000"/>
    <s v="High"/>
    <d v="2021-07-14T00:00:00"/>
    <d v="2012-03-04T00:00:00"/>
  </r>
  <r>
    <n v="28"/>
    <s v="Woodrow Wilson"/>
    <s v="Woodrow Wilson"/>
    <s v="34th  Governor of New Jersey   (1911-1913)"/>
    <x v="3"/>
    <s v="Democratic"/>
    <s v="Thomas R. Marshall"/>
    <s v="Thomas R. Marshall"/>
    <n v="225000"/>
    <n v="225000"/>
    <s v="High"/>
    <d v="2021-07-14T00:00:00"/>
    <d v="2012-03-04T00:00:00"/>
  </r>
  <r>
    <n v="29"/>
    <s v="Warren G. Harding"/>
    <s v="Warren G. Harding"/>
    <s v="U.S. Senator   ( Class 3 )   from  Ohio   (1915-1921)"/>
    <x v="6"/>
    <s v="Republican"/>
    <s v="Calvin Coolidge"/>
    <s v="Calvin Coolidge"/>
    <n v="235000"/>
    <n v="235000"/>
    <s v="High"/>
    <d v="2021-07-14T00:00:00"/>
    <d v="2012-03-04T00:00:00"/>
  </r>
  <r>
    <n v="30"/>
    <s v="Calvin Coolidge"/>
    <s v="Calvin Coolidge"/>
    <s v="29th  Vice President of the United States"/>
    <x v="6"/>
    <s v="Republican"/>
    <s v="Office vacant"/>
    <s v="Office Vacant"/>
    <n v="245000"/>
    <n v="245000"/>
    <s v="High"/>
    <d v="2021-07-14T00:00:00"/>
    <d v="2012-03-04T00:00:00"/>
  </r>
  <r>
    <n v="31"/>
    <s v="Herbert Hoover"/>
    <s v="Herbert Hoover"/>
    <s v="3rd  United States Secretary of Commerce   (1921-1928)"/>
    <x v="6"/>
    <s v="Republican"/>
    <s v="Charles Curtis"/>
    <s v="Charles Curtis"/>
    <n v="255000"/>
    <n v="255000"/>
    <s v="High"/>
    <d v="2021-07-14T00:00:00"/>
    <d v="2012-03-04T00:00:00"/>
  </r>
  <r>
    <n v="32"/>
    <s v="Franklin D. Roosevelt"/>
    <s v="Franklin D. Roosevelt"/>
    <s v="44th  Governor of New York   ( 1929-1932 )"/>
    <x v="3"/>
    <s v="Democratic"/>
    <s v="John Nance Garner"/>
    <s v="John Nance Garner"/>
    <n v="265000"/>
    <n v="265000"/>
    <s v="High"/>
    <d v="2021-07-14T00:00:00"/>
    <d v="2012-03-04T00:00:00"/>
  </r>
  <r>
    <n v="33"/>
    <s v="Harry S. Truman"/>
    <s v="Harry S. Truman"/>
    <s v="34th  Vice President of the United States"/>
    <x v="3"/>
    <s v="Democratic"/>
    <s v="Office vacant"/>
    <s v="Office Vacant"/>
    <n v="275000"/>
    <n v="275000"/>
    <s v="High"/>
    <d v="2021-07-14T00:00:00"/>
    <d v="2012-03-04T00:00:00"/>
  </r>
  <r>
    <n v="34"/>
    <s v="Dwight D. Eisenhower"/>
    <s v="Dwight D. Eisenhower"/>
    <s v="Supreme Allied Commander Europe   ( 1949-1952 )"/>
    <x v="6"/>
    <s v="Republican"/>
    <s v="Richard Nixon"/>
    <s v="Richard Nixon"/>
    <n v="285000"/>
    <n v="285000"/>
    <s v="High"/>
    <d v="2021-07-14T00:00:00"/>
    <d v="2012-03-04T00:00:00"/>
  </r>
  <r>
    <n v="35"/>
    <s v="John F. Kennedy"/>
    <s v="John F. Kennedy"/>
    <s v="U.S. Senator   ( Class 1 )   from  Massachusetts   (1953-1960)"/>
    <x v="3"/>
    <s v="Democratic"/>
    <s v="Lyndon B. Johnson"/>
    <s v="Lyndon B. Johnson"/>
    <n v="295000"/>
    <n v="295000"/>
    <s v="High"/>
    <d v="2021-07-14T00:00:00"/>
    <d v="2012-03-04T00:00:00"/>
  </r>
  <r>
    <n v="36"/>
    <s v="Lyndon B. Johnson"/>
    <s v="Lyndon B. Johnson"/>
    <s v="37th  Vice President of the United States"/>
    <x v="3"/>
    <s v="Democratic"/>
    <s v="Office vacant"/>
    <s v="Office Vacant"/>
    <n v="305000"/>
    <n v="305000"/>
    <s v="High"/>
    <d v="2021-07-14T00:00:00"/>
    <d v="2012-03-04T00:00:00"/>
  </r>
  <r>
    <n v="37"/>
    <s v="Richard Nixon"/>
    <s v="Richard Nixon"/>
    <s v="36th  Vice President of the United States   (1953-1961)"/>
    <x v="6"/>
    <s v="Republican"/>
    <s v="Spiro Agnew"/>
    <s v="Spiro Agnew"/>
    <n v="315000"/>
    <n v="315000"/>
    <s v="High"/>
    <d v="2021-07-14T00:00:00"/>
    <d v="2012-03-04T00:00:00"/>
  </r>
  <r>
    <n v="38"/>
    <s v="Gerald Ford"/>
    <s v="Gerald Ford"/>
    <s v="40th  Vice President of the United States"/>
    <x v="6"/>
    <s v="Republican"/>
    <s v="Office vacant"/>
    <s v="Office Vacant"/>
    <n v="325000"/>
    <n v="325000"/>
    <s v="High"/>
    <d v="2021-07-14T00:00:00"/>
    <d v="2012-03-04T00:00:00"/>
  </r>
  <r>
    <n v="39"/>
    <s v="Jimmy Carter"/>
    <s v="Jimmy Carter"/>
    <s v="76th  Governor of Georgia   (1971-1975)"/>
    <x v="3"/>
    <s v="Democratic"/>
    <s v="Walter Mondale"/>
    <s v="Walter Mondale"/>
    <n v="335000"/>
    <n v="335000"/>
    <s v="High"/>
    <d v="2021-07-14T00:00:00"/>
    <d v="2012-03-04T00:00:00"/>
  </r>
  <r>
    <n v="40"/>
    <s v="Ronald Reagan"/>
    <s v="Ronald Reagan"/>
    <s v="33rd  Governor of California   ( 1967-1975 )"/>
    <x v="6"/>
    <s v="Republican"/>
    <s v="George H. W. Bush"/>
    <s v="George H. W. Bush"/>
    <n v="345000"/>
    <n v="345000"/>
    <s v="High"/>
    <d v="2021-07-14T00:00:00"/>
    <d v="2012-03-04T00:00:00"/>
  </r>
  <r>
    <n v="41"/>
    <s v="George H. W. Bush"/>
    <s v="George H. W. Bush"/>
    <s v="43rd  Vice President of the United States"/>
    <x v="6"/>
    <s v="Republican"/>
    <s v="Dan Quayle"/>
    <s v="Dan Quayle"/>
    <n v="355000"/>
    <n v="355000"/>
    <s v="High"/>
    <d v="2021-07-14T00:00:00"/>
    <d v="2012-03-04T00:00:00"/>
  </r>
  <r>
    <n v="42"/>
    <s v="Bill Clinton"/>
    <s v="Bill Clinton"/>
    <s v="40th &amp; 42nd  Governor of Arkansas   (1979-1981 &amp; 1983-1992)"/>
    <x v="3"/>
    <s v="Democratic"/>
    <s v="Al Gore"/>
    <s v="Al Gore"/>
    <n v="365000"/>
    <n v="365000"/>
    <s v="High"/>
    <d v="2021-07-14T00:00:00"/>
    <d v="2012-03-04T00:00:00"/>
  </r>
  <r>
    <n v="43"/>
    <s v="George W. Bush"/>
    <s v="George W. Bush"/>
    <s v="46th  Governor of Texas   ( 1995-2000 )"/>
    <x v="6"/>
    <s v="Republican"/>
    <s v="Dick Cheney"/>
    <s v="Dick Cheney"/>
    <n v="375000"/>
    <n v="375000"/>
    <s v="High"/>
    <d v="2021-07-14T00:00:00"/>
    <d v="2012-03-04T00:00:00"/>
  </r>
  <r>
    <n v="44"/>
    <s v="Barack Obama"/>
    <s v="Barack Obama"/>
    <s v="U.S. Senator   ( Class 3 )   from  Illinois   ( 2005-2008 )"/>
    <x v="3"/>
    <s v="Democratic"/>
    <s v="Joe Biden"/>
    <s v="Joe Biden"/>
    <n v="395000"/>
    <n v="395000"/>
    <s v="High"/>
    <d v="2021-07-14T00:00:00"/>
    <d v="2020-02-01T00:00:00"/>
  </r>
  <r>
    <n v="45"/>
    <s v="Donald Trump"/>
    <s v="Donald Trump"/>
    <s v="Chairman of   The Trump Organization   ( 1971-present )"/>
    <x v="6"/>
    <s v="Republican"/>
    <s v="Mike Pence"/>
    <s v="Mike Pence"/>
    <n v="405000"/>
    <n v="405000"/>
    <s v="High"/>
    <d v="2021-07-14T00:00:00"/>
    <d v="2020-02-0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n v="1"/>
    <s v="George Washington"/>
    <s v="George Washington"/>
    <s v="Commander-in-Chief  of the  Continental Army   ( 1775-1783 )"/>
    <s v="Nonpartisan"/>
    <x v="0"/>
    <s v="John Adams"/>
    <s v="John Adams"/>
    <n v="5000"/>
    <n v="5000"/>
    <x v="0"/>
    <d v="2021-07-14T00:00:00"/>
    <d v="2012-03-04T00:00:00"/>
    <s v="Democratic"/>
    <n v="3410000"/>
  </r>
  <r>
    <n v="2"/>
    <s v="john adams"/>
    <s v="John Adams"/>
    <s v="1st  Vice President of the United States"/>
    <s v="Federalist"/>
    <x v="1"/>
    <s v="Thomas Jefferson"/>
    <s v="Thomas Jefferson"/>
    <n v="10000"/>
    <n v="10000"/>
    <x v="0"/>
    <d v="2021-07-14T00:00:00"/>
    <d v="2012-03-04T00:00:00"/>
    <s v="Republican"/>
    <n v="4505000"/>
  </r>
  <r>
    <n v="3"/>
    <s v="Thomas Jefferson"/>
    <s v="Thomas Jefferson"/>
    <s v="2nd  Vice President of the United States"/>
    <s v="Democratic-  Republican"/>
    <x v="2"/>
    <s v="    Aaron Burr"/>
    <s v="Aaron Burr"/>
    <n v="15000"/>
    <n v="15000"/>
    <x v="0"/>
    <d v="2021-07-14T00:00:00"/>
    <d v="2012-03-04T00:00:00"/>
    <s v="Nonpartisan"/>
    <n v="5000"/>
  </r>
  <r>
    <n v="4"/>
    <s v="James Madison"/>
    <s v="James Madison"/>
    <s v="5th  United States Secretary of State   (1801-1809)"/>
    <s v="Democratic-  Republican"/>
    <x v="2"/>
    <s v="George    Clinton"/>
    <s v="George Clinton"/>
    <n v="20000"/>
    <n v="20000"/>
    <x v="0"/>
    <d v="2021-07-14T00:00:00"/>
    <d v="2012-03-04T00:00:00"/>
    <s v="Whig"/>
    <n v="170000"/>
  </r>
  <r>
    <n v="5"/>
    <s v="JAMES MONROE"/>
    <s v="James Monroe"/>
    <s v="7th  United States Secretary of State   (1811-1817)"/>
    <s v="Democratic-  Republican"/>
    <x v="2"/>
    <s v="Daniel D. Tompkins"/>
    <s v="Daniel D. Tompkins"/>
    <n v="25000"/>
    <n v="25000"/>
    <x v="0"/>
    <d v="2021-07-14T00:00:00"/>
    <d v="2012-03-04T00:00:00"/>
    <m/>
    <m/>
  </r>
  <r>
    <n v="6"/>
    <s v="John Quincy Adams"/>
    <s v="John Quincy Adams"/>
    <s v="8th  United States Secretary of State   (1817-1825)"/>
    <s v="Democratic-  Republican"/>
    <x v="2"/>
    <s v="John C. Calhoun"/>
    <s v="John C. Calhoun"/>
    <n v="30000"/>
    <n v="30000"/>
    <x v="0"/>
    <d v="2021-07-14T00:00:00"/>
    <d v="2012-03-04T00:00:00"/>
    <m/>
    <m/>
  </r>
  <r>
    <n v="7"/>
    <s v="Andrew Jackson"/>
    <s v="Andrew Jackson"/>
    <s v="U.S. Senator   ( Class 2 )   from  Tennessee   (1823-1825)"/>
    <s v="Democratic"/>
    <x v="3"/>
    <s v="John C.     Calhoun"/>
    <s v="John C. Calhoun"/>
    <n v="35000"/>
    <n v="35000"/>
    <x v="0"/>
    <d v="2021-07-14T00:00:00"/>
    <d v="2012-03-04T00:00:00"/>
    <m/>
    <m/>
  </r>
  <r>
    <n v="8"/>
    <s v="Martin Van Buren"/>
    <s v="Martin Van Buren"/>
    <s v="8th  Vice President of the United States"/>
    <s v="Democratic"/>
    <x v="3"/>
    <s v="Richard Mentor Johnson"/>
    <s v="Richard Mentor Johnson"/>
    <n v="40000"/>
    <n v="40000"/>
    <x v="0"/>
    <d v="2021-07-14T00:00:00"/>
    <d v="2012-03-04T00:00:00"/>
    <m/>
    <m/>
  </r>
  <r>
    <n v="9"/>
    <s v="William Henry Harrison"/>
    <s v="William Henry Harrison"/>
    <s v="United States Minister to Colombia   (1828-1829)"/>
    <s v="Whig"/>
    <x v="4"/>
    <s v="John Tyler"/>
    <s v="John Tyler"/>
    <n v="45000"/>
    <n v="45000"/>
    <x v="0"/>
    <d v="2021-07-14T00:00:00"/>
    <d v="2012-03-04T00:00:00"/>
    <m/>
    <m/>
  </r>
  <r>
    <n v="10"/>
    <s v="john tyler"/>
    <s v="John Tyler"/>
    <s v="10th  Vice President of the United States"/>
    <s v="Whig   April 4, 1841  -  September 13, 1841"/>
    <x v="5"/>
    <s v="Office vacant"/>
    <s v="Office Vacant"/>
    <n v="50000"/>
    <n v="50000"/>
    <x v="0"/>
    <d v="2021-07-14T00:00:00"/>
    <d v="2012-03-04T00:00:00"/>
    <m/>
    <m/>
  </r>
  <r>
    <n v="11"/>
    <s v="James K. Polk"/>
    <s v="James K. Polk"/>
    <s v="9th  Governor of Tennessee   (1839-1841)"/>
    <s v="Democratic"/>
    <x v="3"/>
    <s v="George         M. Dallas"/>
    <s v="George M. Dallas"/>
    <n v="55000"/>
    <n v="55000"/>
    <x v="0"/>
    <d v="2021-07-14T00:00:00"/>
    <d v="2012-03-04T00:00:00"/>
    <m/>
    <m/>
  </r>
  <r>
    <n v="12"/>
    <s v="Zachary Taylor"/>
    <s v="Zachary Taylor"/>
    <s v="Major General  of the  1st Infantry Regiment   United States Army   (1846-1849)"/>
    <s v="Whig"/>
    <x v="4"/>
    <s v="               Millard Fillmore"/>
    <s v="Millard Fillmore"/>
    <n v="60000"/>
    <n v="60000"/>
    <x v="0"/>
    <d v="2021-07-14T00:00:00"/>
    <d v="2012-03-04T00:00:00"/>
    <m/>
    <m/>
  </r>
  <r>
    <n v="13"/>
    <s v="Millard Fillmore"/>
    <s v="Millard Fillmore"/>
    <s v="12th  Vice President of the United States"/>
    <s v="Whig"/>
    <x v="4"/>
    <s v="Office vacant"/>
    <s v="Office Vacant"/>
    <n v="65000"/>
    <n v="65000"/>
    <x v="0"/>
    <d v="2021-07-14T00:00:00"/>
    <d v="2012-03-04T00:00:00"/>
    <m/>
    <m/>
  </r>
  <r>
    <n v="14"/>
    <s v="Franklin Pierce"/>
    <s v="Franklin Pierce"/>
    <s v="Brigadier General  of the  9th Infantry   United States Army   (1847-1848)"/>
    <s v="Democratic"/>
    <x v="3"/>
    <s v="William R. King"/>
    <s v="William R. King"/>
    <n v="75000"/>
    <n v="75000"/>
    <x v="0"/>
    <d v="2021-07-14T00:00:00"/>
    <d v="2012-03-04T00:00:00"/>
    <m/>
    <m/>
  </r>
  <r>
    <n v="15"/>
    <s v="James Buchanan"/>
    <s v="James Buchanan"/>
    <s v="United States Minister  to the   Court of St James's   (1853-1856)"/>
    <s v="Democratic"/>
    <x v="3"/>
    <s v="John C. Breckinridge"/>
    <s v="John C. Breckinridge"/>
    <n v="85000"/>
    <n v="85000"/>
    <x v="0"/>
    <d v="2021-07-14T00:00:00"/>
    <d v="2012-03-04T00:00:00"/>
    <m/>
    <m/>
  </r>
  <r>
    <n v="16"/>
    <s v="Abraham Lincoln"/>
    <s v="Abraham Lincoln"/>
    <s v="U.S. Representative  for  Illinois' 7th District   (1847-1849)"/>
    <s v="Republican"/>
    <x v="6"/>
    <s v="Hannibal Hamlin"/>
    <s v="Hannibal Hamlin"/>
    <n v="95000"/>
    <n v="95000"/>
    <x v="0"/>
    <d v="2021-07-14T00:00:00"/>
    <d v="2012-03-04T00:00:00"/>
    <m/>
    <m/>
  </r>
  <r>
    <n v="17"/>
    <s v="Andrew Johnson"/>
    <s v="Andrew Johnson"/>
    <s v="16th  Vice President of the United States"/>
    <s v="Democratic"/>
    <x v="3"/>
    <s v="Office vacant"/>
    <s v="Office Vacant"/>
    <n v="105000"/>
    <n v="105000"/>
    <x v="0"/>
    <d v="2021-07-14T00:00:00"/>
    <d v="2012-03-04T00:00:00"/>
    <m/>
    <m/>
  </r>
  <r>
    <n v="18"/>
    <s v="Ulysses S. Grant"/>
    <s v="Ulysses S. Grant"/>
    <s v="Commanding General  of the U.S. Army   ( 1864-1869 )"/>
    <s v="Republican"/>
    <x v="6"/>
    <s v="Schuyler Colfax"/>
    <s v="Schuyler Colfax"/>
    <n v="115000"/>
    <n v="115000"/>
    <x v="0"/>
    <d v="2021-07-14T00:00:00"/>
    <d v="2012-03-04T00:00:00"/>
    <m/>
    <m/>
  </r>
  <r>
    <n v="19"/>
    <s v="Rutherford B. Hayes"/>
    <s v="Rutherford B. Hayes"/>
    <s v="29th &amp; 32nd  Governor of Ohio   (1868-1872 &amp; 1876-1877)"/>
    <s v="Republican"/>
    <x v="6"/>
    <s v="William A. Wheeler"/>
    <s v="William A. Wheeler"/>
    <n v="125000"/>
    <n v="125000"/>
    <x v="0"/>
    <d v="2021-07-14T00:00:00"/>
    <d v="2012-03-04T00:00:00"/>
    <m/>
    <m/>
  </r>
  <r>
    <n v="20"/>
    <s v="James A. Garfield"/>
    <s v="James A. Garfield"/>
    <s v="U.S. Representative  for  Ohio's 19th District   (1863-1881)"/>
    <s v="Republican"/>
    <x v="6"/>
    <s v="Chester A. Arthur"/>
    <s v="Chester A. Arthur"/>
    <n v="135000"/>
    <n v="135000"/>
    <x v="0"/>
    <d v="2021-07-14T00:00:00"/>
    <d v="2012-03-04T00:00:00"/>
    <m/>
    <m/>
  </r>
  <r>
    <n v="21"/>
    <s v="Chester A. Arthur"/>
    <s v="Chester A. Arthur"/>
    <s v="20th  Vice President of the United States"/>
    <s v="Republican"/>
    <x v="6"/>
    <s v="Office vacant"/>
    <s v="Office Vacant"/>
    <n v="145000"/>
    <n v="145000"/>
    <x v="0"/>
    <d v="2021-07-14T00:00:00"/>
    <d v="2012-03-04T00:00:00"/>
    <m/>
    <m/>
  </r>
  <r>
    <n v="22"/>
    <s v="Grover Cleveland"/>
    <s v="Grover Cleveland"/>
    <s v="28th  Governor of New York   (1883-1885)"/>
    <s v="Democratic"/>
    <x v="3"/>
    <s v="Thomas A. Hendricks"/>
    <s v="Thomas A. Hendricks"/>
    <n v="155000"/>
    <n v="155000"/>
    <x v="0"/>
    <d v="2021-07-14T00:00:00"/>
    <d v="2012-03-04T00:00:00"/>
    <m/>
    <m/>
  </r>
  <r>
    <n v="23"/>
    <s v="Benjamin Harrison"/>
    <s v="Benjamin Harrison"/>
    <s v="U.S. Senator   ( Class 1 )   from  Indiana   (1881-1887)"/>
    <s v="Republican"/>
    <x v="6"/>
    <s v="Levi P. Morton"/>
    <s v="Levi P. Morton"/>
    <n v="165000"/>
    <n v="165000"/>
    <x v="0"/>
    <d v="2021-07-14T00:00:00"/>
    <d v="2012-03-04T00:00:00"/>
    <m/>
    <m/>
  </r>
  <r>
    <n v="24"/>
    <s v="Grover Cleveland"/>
    <s v="Grover Cleveland"/>
    <s v="22nd  President of the United States   (1885-1889)"/>
    <s v="Democratic"/>
    <x v="3"/>
    <s v="Adlai Stevenson"/>
    <s v="Adlai Stevenson"/>
    <n v="175000"/>
    <n v="175000"/>
    <x v="0"/>
    <d v="2021-07-14T00:00:00"/>
    <d v="2012-03-04T00:00:00"/>
    <m/>
    <m/>
  </r>
  <r>
    <n v="25"/>
    <s v="William McKinley"/>
    <s v="William Mckinley"/>
    <s v="39th  Governor of Ohio   (1892-1896)"/>
    <s v="Republican"/>
    <x v="6"/>
    <s v="Garret Hobart"/>
    <s v="Garret Hobart"/>
    <n v="185000"/>
    <n v="185000"/>
    <x v="0"/>
    <d v="2021-07-14T00:00:00"/>
    <d v="2012-03-04T00:00:00"/>
    <m/>
    <m/>
  </r>
  <r>
    <n v="26"/>
    <s v="Theodore Roosevelt"/>
    <s v="Theodore Roosevelt"/>
    <s v="25th  Vice President of the United States"/>
    <s v="Republican"/>
    <x v="6"/>
    <s v="Office vacant"/>
    <s v="Office Vacant"/>
    <n v="195000"/>
    <n v="195000"/>
    <x v="0"/>
    <d v="2021-07-14T00:00:00"/>
    <d v="2012-03-04T00:00:00"/>
    <m/>
    <m/>
  </r>
  <r>
    <n v="27"/>
    <s v="William Howard Taft"/>
    <s v="William Howard Taft"/>
    <s v="42nd  United States Secretary of War   (1904-1908)"/>
    <s v="Republican"/>
    <x v="6"/>
    <s v="James S. Sherman"/>
    <s v="James S. Sherman"/>
    <n v="205000"/>
    <n v="205000"/>
    <x v="1"/>
    <d v="2021-07-14T00:00:00"/>
    <d v="2012-03-04T00:00:00"/>
    <m/>
    <m/>
  </r>
  <r>
    <n v="28"/>
    <s v="Woodrow Wilson"/>
    <s v="Woodrow Wilson"/>
    <s v="34th  Governor of New Jersey   (1911-1913)"/>
    <s v="Democratic"/>
    <x v="3"/>
    <s v="Thomas R. Marshall"/>
    <s v="Thomas R. Marshall"/>
    <n v="225000"/>
    <n v="225000"/>
    <x v="1"/>
    <d v="2021-07-14T00:00:00"/>
    <d v="2012-03-04T00:00:00"/>
    <m/>
    <m/>
  </r>
  <r>
    <n v="28"/>
    <s v="Woodrow Wilson"/>
    <s v="Woodrow Wilson"/>
    <s v="34th  Governor of New Jersey   (1911-1913)"/>
    <s v="Democratic"/>
    <x v="3"/>
    <s v="Thomas R. Marshall"/>
    <s v="Thomas R. Marshall"/>
    <n v="225000"/>
    <n v="225000"/>
    <x v="1"/>
    <d v="2021-07-14T00:00:00"/>
    <d v="2012-03-04T00:00:00"/>
    <m/>
    <m/>
  </r>
  <r>
    <n v="29"/>
    <s v="Warren G. Harding"/>
    <s v="Warren G. Harding"/>
    <s v="U.S. Senator   ( Class 3 )   from  Ohio   (1915-1921)"/>
    <s v="Republican"/>
    <x v="6"/>
    <s v="Calvin Coolidge"/>
    <s v="Calvin Coolidge"/>
    <n v="235000"/>
    <n v="235000"/>
    <x v="1"/>
    <d v="2021-07-14T00:00:00"/>
    <d v="2012-03-04T00:00:00"/>
    <m/>
    <m/>
  </r>
  <r>
    <n v="30"/>
    <s v="Calvin Coolidge"/>
    <s v="Calvin Coolidge"/>
    <s v="29th  Vice President of the United States"/>
    <s v="Republican"/>
    <x v="6"/>
    <s v="Office vacant"/>
    <s v="Office Vacant"/>
    <n v="245000"/>
    <n v="245000"/>
    <x v="1"/>
    <d v="2021-07-14T00:00:00"/>
    <d v="2012-03-04T00:00:00"/>
    <m/>
    <m/>
  </r>
  <r>
    <n v="31"/>
    <s v="Herbert Hoover"/>
    <s v="Herbert Hoover"/>
    <s v="3rd  United States Secretary of Commerce   (1921-1928)"/>
    <s v="Republican"/>
    <x v="6"/>
    <s v="Charles Curtis"/>
    <s v="Charles Curtis"/>
    <n v="255000"/>
    <n v="255000"/>
    <x v="1"/>
    <d v="2021-07-14T00:00:00"/>
    <d v="2012-03-04T00:00:00"/>
    <m/>
    <m/>
  </r>
  <r>
    <n v="32"/>
    <s v="Franklin D. Roosevelt"/>
    <s v="Franklin D. Roosevelt"/>
    <s v="44th  Governor of New York   ( 1929-1932 )"/>
    <s v="Democratic"/>
    <x v="3"/>
    <s v="John Nance Garner"/>
    <s v="John Nance Garner"/>
    <n v="265000"/>
    <n v="265000"/>
    <x v="1"/>
    <d v="2021-07-14T00:00:00"/>
    <d v="2012-03-04T00:00:00"/>
    <m/>
    <m/>
  </r>
  <r>
    <n v="33"/>
    <s v="Harry S. Truman"/>
    <s v="Harry S. Truman"/>
    <s v="34th  Vice President of the United States"/>
    <s v="Democratic"/>
    <x v="3"/>
    <s v="Office vacant"/>
    <s v="Office Vacant"/>
    <n v="275000"/>
    <n v="275000"/>
    <x v="1"/>
    <d v="2021-07-14T00:00:00"/>
    <d v="2012-03-04T00:00:00"/>
    <m/>
    <m/>
  </r>
  <r>
    <n v="34"/>
    <s v="Dwight D. Eisenhower"/>
    <s v="Dwight D. Eisenhower"/>
    <s v="Supreme Allied Commander Europe   ( 1949-1952 )"/>
    <s v="Republican"/>
    <x v="6"/>
    <s v="Richard Nixon"/>
    <s v="Richard Nixon"/>
    <n v="285000"/>
    <n v="285000"/>
    <x v="1"/>
    <d v="2021-07-14T00:00:00"/>
    <d v="2012-03-04T00:00:00"/>
    <m/>
    <m/>
  </r>
  <r>
    <n v="35"/>
    <s v="John F. Kennedy"/>
    <s v="John F. Kennedy"/>
    <s v="U.S. Senator   ( Class 1 )   from  Massachusetts   (1953-1960)"/>
    <s v="Democratic"/>
    <x v="3"/>
    <s v="Lyndon B. Johnson"/>
    <s v="Lyndon B. Johnson"/>
    <n v="295000"/>
    <n v="295000"/>
    <x v="1"/>
    <d v="2021-07-14T00:00:00"/>
    <d v="2012-03-04T00:00:00"/>
    <m/>
    <m/>
  </r>
  <r>
    <n v="36"/>
    <s v="Lyndon B. Johnson"/>
    <s v="Lyndon B. Johnson"/>
    <s v="37th  Vice President of the United States"/>
    <s v="Democratic"/>
    <x v="3"/>
    <s v="Office vacant"/>
    <s v="Office Vacant"/>
    <n v="305000"/>
    <n v="305000"/>
    <x v="1"/>
    <d v="2021-07-14T00:00:00"/>
    <d v="2012-03-04T00:00:00"/>
    <m/>
    <m/>
  </r>
  <r>
    <n v="37"/>
    <s v="Richard Nixon"/>
    <s v="Richard Nixon"/>
    <s v="36th  Vice President of the United States   (1953-1961)"/>
    <s v="Republican"/>
    <x v="6"/>
    <s v="Spiro Agnew"/>
    <s v="Spiro Agnew"/>
    <n v="315000"/>
    <n v="315000"/>
    <x v="1"/>
    <d v="2021-07-14T00:00:00"/>
    <d v="2012-03-04T00:00:00"/>
    <m/>
    <m/>
  </r>
  <r>
    <n v="38"/>
    <s v="Gerald Ford"/>
    <s v="Gerald Ford"/>
    <s v="40th  Vice President of the United States"/>
    <s v="Republican"/>
    <x v="6"/>
    <s v="Office vacant"/>
    <s v="Office Vacant"/>
    <n v="325000"/>
    <n v="325000"/>
    <x v="1"/>
    <d v="2021-07-14T00:00:00"/>
    <d v="2012-03-04T00:00:00"/>
    <m/>
    <m/>
  </r>
  <r>
    <n v="39"/>
    <s v="Jimmy Carter"/>
    <s v="Jimmy Carter"/>
    <s v="76th  Governor of Georgia   (1971-1975)"/>
    <s v="Democratic"/>
    <x v="3"/>
    <s v="Walter Mondale"/>
    <s v="Walter Mondale"/>
    <n v="335000"/>
    <n v="335000"/>
    <x v="1"/>
    <d v="2021-07-14T00:00:00"/>
    <d v="2012-03-04T00:00:00"/>
    <m/>
    <m/>
  </r>
  <r>
    <n v="40"/>
    <s v="Ronald Reagan"/>
    <s v="Ronald Reagan"/>
    <s v="33rd  Governor of California   ( 1967-1975 )"/>
    <s v="Republican"/>
    <x v="6"/>
    <s v="George H. W. Bush"/>
    <s v="George H. W. Bush"/>
    <n v="345000"/>
    <n v="345000"/>
    <x v="1"/>
    <d v="2021-07-14T00:00:00"/>
    <d v="2012-03-04T00:00:00"/>
    <m/>
    <m/>
  </r>
  <r>
    <n v="41"/>
    <s v="George H. W. Bush"/>
    <s v="George H. W. Bush"/>
    <s v="43rd  Vice President of the United States"/>
    <s v="Republican"/>
    <x v="6"/>
    <s v="Dan Quayle"/>
    <s v="Dan Quayle"/>
    <n v="355000"/>
    <n v="355000"/>
    <x v="1"/>
    <d v="2021-07-14T00:00:00"/>
    <d v="2012-03-04T00:00:00"/>
    <m/>
    <m/>
  </r>
  <r>
    <n v="42"/>
    <s v="Bill Clinton"/>
    <s v="Bill Clinton"/>
    <s v="40th &amp; 42nd  Governor of Arkansas   (1979-1981 &amp; 1983-1992)"/>
    <s v="Democratic"/>
    <x v="3"/>
    <s v="Al Gore"/>
    <s v="Al Gore"/>
    <n v="365000"/>
    <n v="365000"/>
    <x v="1"/>
    <d v="2021-07-14T00:00:00"/>
    <d v="2012-03-04T00:00:00"/>
    <m/>
    <m/>
  </r>
  <r>
    <n v="43"/>
    <s v="George W. Bush"/>
    <s v="George W. Bush"/>
    <s v="46th  Governor of Texas   ( 1995-2000 )"/>
    <s v="Republican"/>
    <x v="6"/>
    <s v="Dick Cheney"/>
    <s v="Dick Cheney"/>
    <n v="375000"/>
    <n v="375000"/>
    <x v="1"/>
    <d v="2021-07-14T00:00:00"/>
    <d v="2012-03-04T00:00:00"/>
    <m/>
    <m/>
  </r>
  <r>
    <n v="44"/>
    <s v="Barack Obama"/>
    <s v="Barack Obama"/>
    <s v="U.S. Senator   ( Class 3 )   from  Illinois   ( 2005-2008 )"/>
    <s v="Democratic"/>
    <x v="3"/>
    <s v="Joe Biden"/>
    <s v="Joe Biden"/>
    <n v="395000"/>
    <n v="395000"/>
    <x v="1"/>
    <d v="2021-07-14T00:00:00"/>
    <d v="2020-02-01T00:00:00"/>
    <m/>
    <m/>
  </r>
  <r>
    <n v="45"/>
    <s v="Donald Trump"/>
    <s v="Donald Trump"/>
    <s v="Chairman of   The Trump Organization   ( 1971-present )"/>
    <s v="Republican"/>
    <x v="6"/>
    <s v="Mike Pence"/>
    <s v="Mike Pence"/>
    <n v="405000"/>
    <n v="405000"/>
    <x v="1"/>
    <d v="2021-07-14T00:00:00"/>
    <d v="2020-02-01T00:00:0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56B31-3B9E-47A0-AEB6-0F0D6ECAE062}" name="PivotTable3" cacheId="11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1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3"/>
        <item x="2"/>
        <item x="1"/>
        <item x="0"/>
        <item x="6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dataField="1" compact="0" numFmtId="165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ary_num_clean" fld="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77B80-92D3-458A-B115-121102CF8C85}" name="PivotTable4" cacheId="1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2" firstHeaderRow="1" firstDataRow="2" firstDataCol="1"/>
  <pivotFields count="15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8">
        <item x="3"/>
        <item x="2"/>
        <item x="1"/>
        <item x="0"/>
        <item x="6"/>
        <item x="4"/>
        <item x="5"/>
        <item t="default"/>
      </items>
    </pivotField>
    <pivotField compact="0" outline="0" showAll="0"/>
    <pivotField compact="0" outline="0" showAll="0"/>
    <pivotField compact="0" numFmtId="165" outline="0" showAll="0"/>
    <pivotField compact="0" numFmtId="165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president_clea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C194C-3AC0-424A-B9C6-D2AE3569D1BE}" name="PivotTable1" cacheId="11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1" firstHeaderRow="1" firstDataRow="1" firstDataCol="1"/>
  <pivotFields count="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3"/>
        <item x="2"/>
        <item x="1"/>
        <item x="0"/>
        <item x="6"/>
        <item x="4"/>
        <item x="5"/>
        <item t="default"/>
      </items>
    </pivotField>
    <pivotField compact="0" outline="0" showAll="0"/>
    <pivotField compact="0" outline="0" showAll="0"/>
    <pivotField compact="0" numFmtId="165" outline="0" showAll="0"/>
    <pivotField dataField="1"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alary_num_clean" fld="9" subtotal="average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9220D-A32D-4D82-89B8-1AC7A6FF91C6}">
  <dimension ref="A3:B11"/>
  <sheetViews>
    <sheetView workbookViewId="0">
      <selection activeCell="A16" sqref="A16"/>
    </sheetView>
  </sheetViews>
  <sheetFormatPr defaultRowHeight="15"/>
  <cols>
    <col min="1" max="1" width="38.140625" bestFit="1" customWidth="1"/>
    <col min="2" max="2" width="23.7109375" bestFit="1" customWidth="1"/>
  </cols>
  <sheetData>
    <row r="3" spans="1:2">
      <c r="A3" s="5" t="s">
        <v>0</v>
      </c>
      <c r="B3" t="s">
        <v>1</v>
      </c>
    </row>
    <row r="4" spans="1:2">
      <c r="A4" t="s">
        <v>2</v>
      </c>
      <c r="B4" s="4">
        <v>3410000</v>
      </c>
    </row>
    <row r="5" spans="1:2">
      <c r="A5" t="s">
        <v>3</v>
      </c>
      <c r="B5" s="4">
        <v>90000</v>
      </c>
    </row>
    <row r="6" spans="1:2">
      <c r="A6" t="s">
        <v>4</v>
      </c>
      <c r="B6" s="4">
        <v>10000</v>
      </c>
    </row>
    <row r="7" spans="1:2">
      <c r="A7" t="s">
        <v>5</v>
      </c>
      <c r="B7" s="4">
        <v>5000</v>
      </c>
    </row>
    <row r="8" spans="1:2">
      <c r="A8" t="s">
        <v>6</v>
      </c>
      <c r="B8" s="4">
        <v>4505000</v>
      </c>
    </row>
    <row r="9" spans="1:2">
      <c r="A9" t="s">
        <v>7</v>
      </c>
      <c r="B9" s="4">
        <v>170000</v>
      </c>
    </row>
    <row r="10" spans="1:2">
      <c r="A10" t="s">
        <v>8</v>
      </c>
      <c r="B10" s="4">
        <v>50000</v>
      </c>
    </row>
    <row r="11" spans="1:2">
      <c r="A11" t="s">
        <v>9</v>
      </c>
      <c r="B11" s="4">
        <v>8240000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D80BA-64A4-45DB-9B02-3534F80047C5}">
  <dimension ref="A3:D12"/>
  <sheetViews>
    <sheetView workbookViewId="0">
      <selection activeCell="B10" sqref="B10"/>
    </sheetView>
  </sheetViews>
  <sheetFormatPr defaultRowHeight="15"/>
  <cols>
    <col min="1" max="1" width="36.140625" bestFit="1" customWidth="1"/>
    <col min="2" max="2" width="13.42578125" bestFit="1" customWidth="1"/>
    <col min="3" max="3" width="7.5703125" bestFit="1" customWidth="1"/>
    <col min="4" max="4" width="11.42578125" bestFit="1" customWidth="1"/>
  </cols>
  <sheetData>
    <row r="3" spans="1:4">
      <c r="A3" s="5" t="s">
        <v>10</v>
      </c>
      <c r="B3" s="5" t="s">
        <v>11</v>
      </c>
    </row>
    <row r="4" spans="1:4">
      <c r="A4" s="5" t="s">
        <v>12</v>
      </c>
      <c r="B4" t="s">
        <v>13</v>
      </c>
      <c r="C4" t="s">
        <v>14</v>
      </c>
      <c r="D4" t="s">
        <v>9</v>
      </c>
    </row>
    <row r="5" spans="1:4">
      <c r="A5" t="s">
        <v>2</v>
      </c>
      <c r="B5" s="6">
        <v>9</v>
      </c>
      <c r="C5" s="6">
        <v>8</v>
      </c>
      <c r="D5" s="6">
        <v>17</v>
      </c>
    </row>
    <row r="6" spans="1:4">
      <c r="A6" t="s">
        <v>15</v>
      </c>
      <c r="B6" s="6"/>
      <c r="C6" s="6">
        <v>4</v>
      </c>
      <c r="D6" s="6">
        <v>4</v>
      </c>
    </row>
    <row r="7" spans="1:4">
      <c r="A7" t="s">
        <v>4</v>
      </c>
      <c r="B7" s="6"/>
      <c r="C7" s="6">
        <v>1</v>
      </c>
      <c r="D7" s="6">
        <v>1</v>
      </c>
    </row>
    <row r="8" spans="1:4">
      <c r="A8" t="s">
        <v>5</v>
      </c>
      <c r="B8" s="6"/>
      <c r="C8" s="6">
        <v>1</v>
      </c>
      <c r="D8" s="6">
        <v>1</v>
      </c>
    </row>
    <row r="9" spans="1:4">
      <c r="A9" t="s">
        <v>6</v>
      </c>
      <c r="B9" s="6">
        <v>11</v>
      </c>
      <c r="C9" s="6">
        <v>8</v>
      </c>
      <c r="D9" s="6">
        <v>19</v>
      </c>
    </row>
    <row r="10" spans="1:4">
      <c r="A10" t="s">
        <v>7</v>
      </c>
      <c r="B10" s="6"/>
      <c r="C10" s="6">
        <v>3</v>
      </c>
      <c r="D10" s="6">
        <v>3</v>
      </c>
    </row>
    <row r="11" spans="1:4">
      <c r="A11" t="s">
        <v>16</v>
      </c>
      <c r="B11" s="6"/>
      <c r="C11" s="6">
        <v>1</v>
      </c>
      <c r="D11" s="6">
        <v>1</v>
      </c>
    </row>
    <row r="12" spans="1:4">
      <c r="A12" t="s">
        <v>9</v>
      </c>
      <c r="B12" s="6">
        <v>20</v>
      </c>
      <c r="C12" s="6">
        <v>26</v>
      </c>
      <c r="D12" s="6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3A9-1887-4A34-A2D6-D2C4CABB378B}">
  <dimension ref="A3:B11"/>
  <sheetViews>
    <sheetView tabSelected="1" workbookViewId="0">
      <selection activeCell="B8" sqref="B8"/>
    </sheetView>
  </sheetViews>
  <sheetFormatPr defaultRowHeight="15"/>
  <cols>
    <col min="1" max="1" width="36.140625" bestFit="1" customWidth="1"/>
    <col min="2" max="2" width="27.140625" bestFit="1" customWidth="1"/>
  </cols>
  <sheetData>
    <row r="3" spans="1:2">
      <c r="A3" s="5" t="s">
        <v>12</v>
      </c>
      <c r="B3" t="s">
        <v>17</v>
      </c>
    </row>
    <row r="4" spans="1:2">
      <c r="A4" t="s">
        <v>2</v>
      </c>
      <c r="B4" s="4">
        <v>200588.23529411765</v>
      </c>
    </row>
    <row r="5" spans="1:2">
      <c r="A5" t="s">
        <v>15</v>
      </c>
      <c r="B5" s="4">
        <v>22500</v>
      </c>
    </row>
    <row r="6" spans="1:2">
      <c r="A6" t="s">
        <v>4</v>
      </c>
      <c r="B6" s="4">
        <v>10000</v>
      </c>
    </row>
    <row r="7" spans="1:2">
      <c r="A7" t="s">
        <v>5</v>
      </c>
      <c r="B7" s="4">
        <v>5000</v>
      </c>
    </row>
    <row r="8" spans="1:2">
      <c r="A8" t="s">
        <v>6</v>
      </c>
      <c r="B8" s="4">
        <v>237105.26315789475</v>
      </c>
    </row>
    <row r="9" spans="1:2">
      <c r="A9" t="s">
        <v>7</v>
      </c>
      <c r="B9" s="4">
        <v>56666.666666666664</v>
      </c>
    </row>
    <row r="10" spans="1:2">
      <c r="A10" t="s">
        <v>16</v>
      </c>
      <c r="B10" s="4">
        <v>50000</v>
      </c>
    </row>
    <row r="11" spans="1:2">
      <c r="A11" t="s">
        <v>9</v>
      </c>
      <c r="B11" s="4">
        <v>179130.4347826087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52082-B23C-4937-B1E3-00D0C5F36752}">
  <dimension ref="A1:P48"/>
  <sheetViews>
    <sheetView workbookViewId="0">
      <selection activeCell="P1" sqref="A1:P47"/>
    </sheetView>
  </sheetViews>
  <sheetFormatPr defaultColWidth="23.5703125" defaultRowHeight="15"/>
  <cols>
    <col min="1" max="4" width="23.5703125" style="7"/>
    <col min="5" max="5" width="69.85546875" style="7" bestFit="1" customWidth="1"/>
    <col min="6" max="6" width="23.5703125" style="7"/>
    <col min="7" max="7" width="36.140625" style="7" bestFit="1" customWidth="1"/>
    <col min="8" max="9" width="23.5703125" style="7"/>
    <col min="10" max="10" width="23.5703125" style="8"/>
    <col min="11" max="11" width="16.7109375" style="9" bestFit="1" customWidth="1"/>
    <col min="12" max="12" width="29.7109375" style="9" bestFit="1" customWidth="1"/>
    <col min="13" max="15" width="23.5703125" style="7"/>
    <col min="16" max="16" width="23.5703125" style="9"/>
    <col min="17" max="16384" width="23.5703125" style="7"/>
  </cols>
  <sheetData>
    <row r="1" spans="1:16">
      <c r="B1" s="7" t="s">
        <v>18</v>
      </c>
      <c r="C1" s="7" t="s">
        <v>19</v>
      </c>
      <c r="D1" s="7" t="s">
        <v>20</v>
      </c>
      <c r="E1" s="7" t="s">
        <v>21</v>
      </c>
      <c r="F1" s="7" t="s">
        <v>0</v>
      </c>
      <c r="G1" s="7" t="s">
        <v>12</v>
      </c>
      <c r="H1" s="7" t="s">
        <v>22</v>
      </c>
      <c r="I1" s="7" t="s">
        <v>23</v>
      </c>
      <c r="J1" s="8" t="s">
        <v>24</v>
      </c>
      <c r="K1" s="9" t="s">
        <v>25</v>
      </c>
      <c r="L1" s="9" t="s">
        <v>11</v>
      </c>
      <c r="M1" s="7" t="s">
        <v>26</v>
      </c>
      <c r="N1" s="7" t="s">
        <v>27</v>
      </c>
      <c r="O1" s="7" t="s">
        <v>28</v>
      </c>
      <c r="P1" s="9" t="s">
        <v>29</v>
      </c>
    </row>
    <row r="2" spans="1:16">
      <c r="A2" s="7">
        <v>0</v>
      </c>
      <c r="B2" s="7">
        <v>1</v>
      </c>
      <c r="C2" s="7" t="s">
        <v>30</v>
      </c>
      <c r="D2" s="7" t="s">
        <v>30</v>
      </c>
      <c r="E2" s="7" t="s">
        <v>31</v>
      </c>
      <c r="F2" s="7" t="s">
        <v>5</v>
      </c>
      <c r="G2" s="7" t="s">
        <v>5</v>
      </c>
      <c r="H2" s="7" t="s">
        <v>32</v>
      </c>
      <c r="I2" s="7" t="str">
        <f>PROPER(TRIM(H2))</f>
        <v>John Adams</v>
      </c>
      <c r="J2" s="9">
        <v>5000</v>
      </c>
      <c r="K2" s="9">
        <f>--SUBSTITUTE(SUBSTITUTE(J2,"$",""),",","")</f>
        <v>5000</v>
      </c>
      <c r="L2" s="9" t="str">
        <f>IF(K2&gt;200000,"High","Normal")</f>
        <v>Normal</v>
      </c>
      <c r="M2" s="10">
        <v>44391</v>
      </c>
      <c r="N2" s="10">
        <v>40972</v>
      </c>
      <c r="O2" s="7" t="s">
        <v>2</v>
      </c>
      <c r="P2" s="9">
        <f>SUMIFS(K:K,G:G,O2)</f>
        <v>3410000</v>
      </c>
    </row>
    <row r="3" spans="1:16">
      <c r="A3" s="7">
        <v>1</v>
      </c>
      <c r="B3" s="7">
        <v>2</v>
      </c>
      <c r="C3" s="7" t="s">
        <v>33</v>
      </c>
      <c r="D3" s="7" t="s">
        <v>32</v>
      </c>
      <c r="E3" s="7" t="s">
        <v>34</v>
      </c>
      <c r="F3" s="7" t="s">
        <v>4</v>
      </c>
      <c r="G3" s="7" t="s">
        <v>4</v>
      </c>
      <c r="H3" s="7" t="s">
        <v>35</v>
      </c>
      <c r="I3" s="7" t="str">
        <f t="shared" ref="I3:I47" si="0">PROPER(TRIM(H3))</f>
        <v>Thomas Jefferson</v>
      </c>
      <c r="J3" s="9">
        <v>10000</v>
      </c>
      <c r="K3" s="9">
        <f t="shared" ref="K3:K47" si="1">--SUBSTITUTE(SUBSTITUTE(J3,"$",""),",","")</f>
        <v>10000</v>
      </c>
      <c r="L3" s="9" t="str">
        <f t="shared" ref="L3:L47" si="2">IF(K3&gt;200000,"High","Normal")</f>
        <v>Normal</v>
      </c>
      <c r="M3" s="10">
        <v>44391</v>
      </c>
      <c r="N3" s="10">
        <v>40972</v>
      </c>
      <c r="O3" s="7" t="s">
        <v>6</v>
      </c>
      <c r="P3" s="9">
        <f>SUMIFS(K:K,G:G,O3)</f>
        <v>4505000</v>
      </c>
    </row>
    <row r="4" spans="1:16">
      <c r="A4" s="7">
        <v>2</v>
      </c>
      <c r="B4" s="7">
        <v>3</v>
      </c>
      <c r="C4" s="7" t="s">
        <v>35</v>
      </c>
      <c r="D4" s="7" t="s">
        <v>35</v>
      </c>
      <c r="E4" s="7" t="s">
        <v>36</v>
      </c>
      <c r="F4" s="7" t="s">
        <v>3</v>
      </c>
      <c r="G4" s="7" t="s">
        <v>15</v>
      </c>
      <c r="H4" s="7" t="s">
        <v>37</v>
      </c>
      <c r="I4" s="7" t="str">
        <f t="shared" si="0"/>
        <v>Aaron Burr</v>
      </c>
      <c r="J4" s="9">
        <v>15000</v>
      </c>
      <c r="K4" s="9">
        <f t="shared" si="1"/>
        <v>15000</v>
      </c>
      <c r="L4" s="9" t="str">
        <f t="shared" si="2"/>
        <v>Normal</v>
      </c>
      <c r="M4" s="10">
        <v>44391</v>
      </c>
      <c r="N4" s="10">
        <v>40972</v>
      </c>
      <c r="O4" s="7" t="s">
        <v>5</v>
      </c>
      <c r="P4" s="9">
        <f>SUMIFS(K:K,G:G,O4)</f>
        <v>5000</v>
      </c>
    </row>
    <row r="5" spans="1:16">
      <c r="A5" s="7">
        <v>3</v>
      </c>
      <c r="B5" s="7">
        <v>4</v>
      </c>
      <c r="C5" s="7" t="s">
        <v>38</v>
      </c>
      <c r="D5" s="7" t="s">
        <v>38</v>
      </c>
      <c r="E5" s="7" t="s">
        <v>39</v>
      </c>
      <c r="F5" s="7" t="s">
        <v>3</v>
      </c>
      <c r="G5" s="7" t="s">
        <v>15</v>
      </c>
      <c r="H5" s="7" t="s">
        <v>40</v>
      </c>
      <c r="I5" s="7" t="str">
        <f t="shared" si="0"/>
        <v>George Clinton</v>
      </c>
      <c r="J5" s="9">
        <v>20000</v>
      </c>
      <c r="K5" s="9">
        <f t="shared" si="1"/>
        <v>20000</v>
      </c>
      <c r="L5" s="9" t="str">
        <f t="shared" si="2"/>
        <v>Normal</v>
      </c>
      <c r="M5" s="10">
        <v>44391</v>
      </c>
      <c r="N5" s="10">
        <v>40972</v>
      </c>
      <c r="O5" s="7" t="s">
        <v>7</v>
      </c>
      <c r="P5" s="9">
        <f>SUMIFS(K:K,G:G,O5)</f>
        <v>170000</v>
      </c>
    </row>
    <row r="6" spans="1:16">
      <c r="A6" s="7">
        <v>4</v>
      </c>
      <c r="B6" s="7">
        <v>5</v>
      </c>
      <c r="C6" s="7" t="s">
        <v>41</v>
      </c>
      <c r="D6" s="7" t="s">
        <v>42</v>
      </c>
      <c r="E6" s="7" t="s">
        <v>43</v>
      </c>
      <c r="F6" s="7" t="s">
        <v>3</v>
      </c>
      <c r="G6" s="7" t="s">
        <v>15</v>
      </c>
      <c r="H6" s="7" t="s">
        <v>44</v>
      </c>
      <c r="I6" s="7" t="str">
        <f t="shared" si="0"/>
        <v>Daniel D. Tompkins</v>
      </c>
      <c r="J6" s="9">
        <v>25000</v>
      </c>
      <c r="K6" s="9">
        <f t="shared" si="1"/>
        <v>25000</v>
      </c>
      <c r="L6" s="9" t="str">
        <f t="shared" si="2"/>
        <v>Normal</v>
      </c>
      <c r="M6" s="10">
        <v>44391</v>
      </c>
      <c r="N6" s="10">
        <v>40972</v>
      </c>
    </row>
    <row r="7" spans="1:16">
      <c r="A7" s="7">
        <v>5</v>
      </c>
      <c r="B7" s="7">
        <v>6</v>
      </c>
      <c r="C7" s="7" t="s">
        <v>45</v>
      </c>
      <c r="D7" s="7" t="s">
        <v>45</v>
      </c>
      <c r="E7" s="7" t="s">
        <v>46</v>
      </c>
      <c r="F7" s="7" t="s">
        <v>3</v>
      </c>
      <c r="G7" s="7" t="s">
        <v>15</v>
      </c>
      <c r="H7" s="7" t="s">
        <v>47</v>
      </c>
      <c r="I7" s="7" t="str">
        <f t="shared" si="0"/>
        <v>John C. Calhoun</v>
      </c>
      <c r="J7" s="9">
        <v>30000</v>
      </c>
      <c r="K7" s="9">
        <f t="shared" si="1"/>
        <v>30000</v>
      </c>
      <c r="L7" s="9" t="str">
        <f t="shared" si="2"/>
        <v>Normal</v>
      </c>
      <c r="M7" s="10">
        <v>44391</v>
      </c>
      <c r="N7" s="10">
        <v>40972</v>
      </c>
    </row>
    <row r="8" spans="1:16">
      <c r="A8" s="7">
        <v>6</v>
      </c>
      <c r="B8" s="7">
        <v>7</v>
      </c>
      <c r="C8" s="7" t="s">
        <v>48</v>
      </c>
      <c r="D8" s="7" t="s">
        <v>48</v>
      </c>
      <c r="E8" s="7" t="s">
        <v>49</v>
      </c>
      <c r="F8" s="7" t="s">
        <v>2</v>
      </c>
      <c r="G8" s="7" t="s">
        <v>2</v>
      </c>
      <c r="H8" s="7" t="s">
        <v>50</v>
      </c>
      <c r="I8" s="7" t="str">
        <f t="shared" si="0"/>
        <v>John C. Calhoun</v>
      </c>
      <c r="J8" s="9">
        <v>35000</v>
      </c>
      <c r="K8" s="9">
        <f t="shared" si="1"/>
        <v>35000</v>
      </c>
      <c r="L8" s="9" t="str">
        <f t="shared" si="2"/>
        <v>Normal</v>
      </c>
      <c r="M8" s="10">
        <v>44391</v>
      </c>
      <c r="N8" s="10">
        <v>40972</v>
      </c>
    </row>
    <row r="9" spans="1:16">
      <c r="A9" s="7">
        <v>7</v>
      </c>
      <c r="B9" s="7">
        <v>8</v>
      </c>
      <c r="C9" s="7" t="s">
        <v>51</v>
      </c>
      <c r="D9" s="7" t="s">
        <v>51</v>
      </c>
      <c r="E9" s="7" t="s">
        <v>52</v>
      </c>
      <c r="F9" s="7" t="s">
        <v>2</v>
      </c>
      <c r="G9" s="7" t="s">
        <v>2</v>
      </c>
      <c r="H9" s="7" t="s">
        <v>53</v>
      </c>
      <c r="I9" s="7" t="str">
        <f t="shared" si="0"/>
        <v>Richard Mentor Johnson</v>
      </c>
      <c r="J9" s="9">
        <v>40000</v>
      </c>
      <c r="K9" s="9">
        <f t="shared" si="1"/>
        <v>40000</v>
      </c>
      <c r="L9" s="9" t="str">
        <f t="shared" si="2"/>
        <v>Normal</v>
      </c>
      <c r="M9" s="10">
        <v>44391</v>
      </c>
      <c r="N9" s="10">
        <v>40972</v>
      </c>
    </row>
    <row r="10" spans="1:16">
      <c r="A10" s="7">
        <v>8</v>
      </c>
      <c r="B10" s="7">
        <v>9</v>
      </c>
      <c r="C10" s="7" t="s">
        <v>54</v>
      </c>
      <c r="D10" s="7" t="s">
        <v>54</v>
      </c>
      <c r="E10" s="7" t="s">
        <v>55</v>
      </c>
      <c r="F10" s="7" t="s">
        <v>7</v>
      </c>
      <c r="G10" s="7" t="s">
        <v>7</v>
      </c>
      <c r="H10" s="7" t="s">
        <v>56</v>
      </c>
      <c r="I10" s="7" t="str">
        <f t="shared" si="0"/>
        <v>John Tyler</v>
      </c>
      <c r="J10" s="9">
        <v>45000</v>
      </c>
      <c r="K10" s="9">
        <f t="shared" si="1"/>
        <v>45000</v>
      </c>
      <c r="L10" s="9" t="str">
        <f t="shared" si="2"/>
        <v>Normal</v>
      </c>
      <c r="M10" s="10">
        <v>44391</v>
      </c>
      <c r="N10" s="10">
        <v>40972</v>
      </c>
    </row>
    <row r="11" spans="1:16">
      <c r="A11" s="7">
        <v>9</v>
      </c>
      <c r="B11" s="7">
        <v>10</v>
      </c>
      <c r="C11" s="7" t="s">
        <v>57</v>
      </c>
      <c r="D11" s="7" t="s">
        <v>56</v>
      </c>
      <c r="E11" s="7" t="s">
        <v>58</v>
      </c>
      <c r="F11" s="7" t="s">
        <v>8</v>
      </c>
      <c r="G11" s="7" t="s">
        <v>16</v>
      </c>
      <c r="H11" s="7" t="s">
        <v>59</v>
      </c>
      <c r="I11" s="7" t="str">
        <f t="shared" si="0"/>
        <v>Office Vacant</v>
      </c>
      <c r="J11" s="9">
        <v>50000</v>
      </c>
      <c r="K11" s="9">
        <f t="shared" si="1"/>
        <v>50000</v>
      </c>
      <c r="L11" s="9" t="str">
        <f t="shared" si="2"/>
        <v>Normal</v>
      </c>
      <c r="M11" s="10">
        <v>44391</v>
      </c>
      <c r="N11" s="10">
        <v>40972</v>
      </c>
    </row>
    <row r="12" spans="1:16">
      <c r="A12" s="7">
        <v>10</v>
      </c>
      <c r="B12" s="7">
        <v>11</v>
      </c>
      <c r="C12" s="7" t="s">
        <v>60</v>
      </c>
      <c r="D12" s="7" t="s">
        <v>60</v>
      </c>
      <c r="E12" s="7" t="s">
        <v>61</v>
      </c>
      <c r="F12" s="7" t="s">
        <v>2</v>
      </c>
      <c r="G12" s="7" t="s">
        <v>2</v>
      </c>
      <c r="H12" s="7" t="s">
        <v>62</v>
      </c>
      <c r="I12" s="7" t="str">
        <f t="shared" si="0"/>
        <v>George M. Dallas</v>
      </c>
      <c r="J12" s="9">
        <v>55000</v>
      </c>
      <c r="K12" s="9">
        <f t="shared" si="1"/>
        <v>55000</v>
      </c>
      <c r="L12" s="9" t="str">
        <f t="shared" si="2"/>
        <v>Normal</v>
      </c>
      <c r="M12" s="10">
        <v>44391</v>
      </c>
      <c r="N12" s="10">
        <v>40972</v>
      </c>
    </row>
    <row r="13" spans="1:16">
      <c r="A13" s="7">
        <v>11</v>
      </c>
      <c r="B13" s="7">
        <v>12</v>
      </c>
      <c r="C13" s="7" t="s">
        <v>63</v>
      </c>
      <c r="D13" s="7" t="s">
        <v>63</v>
      </c>
      <c r="E13" s="7" t="s">
        <v>64</v>
      </c>
      <c r="F13" s="7" t="s">
        <v>7</v>
      </c>
      <c r="G13" s="7" t="s">
        <v>7</v>
      </c>
      <c r="H13" s="7" t="s">
        <v>65</v>
      </c>
      <c r="I13" s="7" t="str">
        <f t="shared" si="0"/>
        <v>Millard Fillmore</v>
      </c>
      <c r="J13" s="9">
        <v>60000</v>
      </c>
      <c r="K13" s="9">
        <f t="shared" si="1"/>
        <v>60000</v>
      </c>
      <c r="L13" s="9" t="str">
        <f t="shared" si="2"/>
        <v>Normal</v>
      </c>
      <c r="M13" s="10">
        <v>44391</v>
      </c>
      <c r="N13" s="10">
        <v>40972</v>
      </c>
    </row>
    <row r="14" spans="1:16">
      <c r="A14" s="7">
        <v>12</v>
      </c>
      <c r="B14" s="7">
        <v>13</v>
      </c>
      <c r="C14" s="7" t="s">
        <v>66</v>
      </c>
      <c r="D14" s="7" t="s">
        <v>66</v>
      </c>
      <c r="E14" s="7" t="s">
        <v>67</v>
      </c>
      <c r="F14" s="7" t="s">
        <v>7</v>
      </c>
      <c r="G14" s="7" t="s">
        <v>7</v>
      </c>
      <c r="H14" s="7" t="s">
        <v>59</v>
      </c>
      <c r="I14" s="7" t="str">
        <f t="shared" si="0"/>
        <v>Office Vacant</v>
      </c>
      <c r="J14" s="9">
        <v>65000</v>
      </c>
      <c r="K14" s="9">
        <f t="shared" si="1"/>
        <v>65000</v>
      </c>
      <c r="L14" s="9" t="str">
        <f t="shared" si="2"/>
        <v>Normal</v>
      </c>
      <c r="M14" s="10">
        <v>44391</v>
      </c>
      <c r="N14" s="10">
        <v>40972</v>
      </c>
    </row>
    <row r="15" spans="1:16">
      <c r="A15" s="7">
        <v>13</v>
      </c>
      <c r="B15" s="7">
        <v>14</v>
      </c>
      <c r="C15" s="7" t="s">
        <v>68</v>
      </c>
      <c r="D15" s="7" t="s">
        <v>68</v>
      </c>
      <c r="E15" s="7" t="s">
        <v>69</v>
      </c>
      <c r="F15" s="7" t="s">
        <v>2</v>
      </c>
      <c r="G15" s="7" t="s">
        <v>2</v>
      </c>
      <c r="H15" s="7" t="s">
        <v>70</v>
      </c>
      <c r="I15" s="7" t="str">
        <f t="shared" si="0"/>
        <v>William R. King</v>
      </c>
      <c r="J15" s="9">
        <v>75000</v>
      </c>
      <c r="K15" s="9">
        <f t="shared" si="1"/>
        <v>75000</v>
      </c>
      <c r="L15" s="9" t="str">
        <f t="shared" si="2"/>
        <v>Normal</v>
      </c>
      <c r="M15" s="10">
        <v>44391</v>
      </c>
      <c r="N15" s="10">
        <v>40972</v>
      </c>
    </row>
    <row r="16" spans="1:16">
      <c r="A16" s="7">
        <v>14</v>
      </c>
      <c r="B16" s="7">
        <v>15</v>
      </c>
      <c r="C16" s="7" t="s">
        <v>71</v>
      </c>
      <c r="D16" s="7" t="s">
        <v>71</v>
      </c>
      <c r="E16" s="7" t="s">
        <v>72</v>
      </c>
      <c r="F16" s="7" t="s">
        <v>2</v>
      </c>
      <c r="G16" s="7" t="s">
        <v>2</v>
      </c>
      <c r="H16" s="7" t="s">
        <v>73</v>
      </c>
      <c r="I16" s="7" t="str">
        <f t="shared" si="0"/>
        <v>John C. Breckinridge</v>
      </c>
      <c r="J16" s="9">
        <v>85000</v>
      </c>
      <c r="K16" s="9">
        <f t="shared" si="1"/>
        <v>85000</v>
      </c>
      <c r="L16" s="9" t="str">
        <f t="shared" si="2"/>
        <v>Normal</v>
      </c>
      <c r="M16" s="10">
        <v>44391</v>
      </c>
      <c r="N16" s="10">
        <v>40972</v>
      </c>
    </row>
    <row r="17" spans="1:14">
      <c r="A17" s="7">
        <v>15</v>
      </c>
      <c r="B17" s="7">
        <v>16</v>
      </c>
      <c r="C17" s="7" t="s">
        <v>74</v>
      </c>
      <c r="D17" s="7" t="s">
        <v>74</v>
      </c>
      <c r="E17" s="7" t="s">
        <v>75</v>
      </c>
      <c r="F17" s="7" t="s">
        <v>6</v>
      </c>
      <c r="G17" s="7" t="s">
        <v>6</v>
      </c>
      <c r="H17" s="7" t="s">
        <v>76</v>
      </c>
      <c r="I17" s="7" t="str">
        <f t="shared" si="0"/>
        <v>Hannibal Hamlin</v>
      </c>
      <c r="J17" s="9">
        <v>95000</v>
      </c>
      <c r="K17" s="9">
        <f t="shared" si="1"/>
        <v>95000</v>
      </c>
      <c r="L17" s="9" t="str">
        <f t="shared" si="2"/>
        <v>Normal</v>
      </c>
      <c r="M17" s="10">
        <v>44391</v>
      </c>
      <c r="N17" s="10">
        <v>40972</v>
      </c>
    </row>
    <row r="18" spans="1:14">
      <c r="A18" s="7">
        <v>16</v>
      </c>
      <c r="B18" s="7">
        <v>17</v>
      </c>
      <c r="C18" s="7" t="s">
        <v>77</v>
      </c>
      <c r="D18" s="7" t="s">
        <v>77</v>
      </c>
      <c r="E18" s="7" t="s">
        <v>78</v>
      </c>
      <c r="F18" s="7" t="s">
        <v>2</v>
      </c>
      <c r="G18" s="7" t="s">
        <v>2</v>
      </c>
      <c r="H18" s="7" t="s">
        <v>59</v>
      </c>
      <c r="I18" s="7" t="str">
        <f t="shared" si="0"/>
        <v>Office Vacant</v>
      </c>
      <c r="J18" s="9">
        <v>105000</v>
      </c>
      <c r="K18" s="9">
        <f t="shared" si="1"/>
        <v>105000</v>
      </c>
      <c r="L18" s="9" t="str">
        <f t="shared" si="2"/>
        <v>Normal</v>
      </c>
      <c r="M18" s="10">
        <v>44391</v>
      </c>
      <c r="N18" s="10">
        <v>40972</v>
      </c>
    </row>
    <row r="19" spans="1:14">
      <c r="A19" s="7">
        <v>17</v>
      </c>
      <c r="B19" s="7">
        <v>18</v>
      </c>
      <c r="C19" s="7" t="s">
        <v>79</v>
      </c>
      <c r="D19" s="7" t="s">
        <v>79</v>
      </c>
      <c r="E19" s="7" t="s">
        <v>80</v>
      </c>
      <c r="F19" s="7" t="s">
        <v>6</v>
      </c>
      <c r="G19" s="7" t="s">
        <v>6</v>
      </c>
      <c r="H19" s="7" t="s">
        <v>81</v>
      </c>
      <c r="I19" s="7" t="str">
        <f t="shared" si="0"/>
        <v>Schuyler Colfax</v>
      </c>
      <c r="J19" s="9">
        <v>115000</v>
      </c>
      <c r="K19" s="9">
        <f t="shared" si="1"/>
        <v>115000</v>
      </c>
      <c r="L19" s="9" t="str">
        <f t="shared" si="2"/>
        <v>Normal</v>
      </c>
      <c r="M19" s="10">
        <v>44391</v>
      </c>
      <c r="N19" s="10">
        <v>40972</v>
      </c>
    </row>
    <row r="20" spans="1:14">
      <c r="A20" s="7">
        <v>18</v>
      </c>
      <c r="B20" s="7">
        <v>19</v>
      </c>
      <c r="C20" s="7" t="s">
        <v>82</v>
      </c>
      <c r="D20" s="7" t="s">
        <v>82</v>
      </c>
      <c r="E20" s="7" t="s">
        <v>83</v>
      </c>
      <c r="F20" s="7" t="s">
        <v>6</v>
      </c>
      <c r="G20" s="7" t="s">
        <v>6</v>
      </c>
      <c r="H20" s="7" t="s">
        <v>84</v>
      </c>
      <c r="I20" s="7" t="str">
        <f t="shared" si="0"/>
        <v>William A. Wheeler</v>
      </c>
      <c r="J20" s="9">
        <v>125000</v>
      </c>
      <c r="K20" s="9">
        <f t="shared" si="1"/>
        <v>125000</v>
      </c>
      <c r="L20" s="9" t="str">
        <f t="shared" si="2"/>
        <v>Normal</v>
      </c>
      <c r="M20" s="10">
        <v>44391</v>
      </c>
      <c r="N20" s="10">
        <v>40972</v>
      </c>
    </row>
    <row r="21" spans="1:14">
      <c r="A21" s="7">
        <v>19</v>
      </c>
      <c r="B21" s="7">
        <v>20</v>
      </c>
      <c r="C21" s="7" t="s">
        <v>85</v>
      </c>
      <c r="D21" s="7" t="s">
        <v>85</v>
      </c>
      <c r="E21" s="7" t="s">
        <v>86</v>
      </c>
      <c r="F21" s="7" t="s">
        <v>6</v>
      </c>
      <c r="G21" s="7" t="s">
        <v>6</v>
      </c>
      <c r="H21" s="7" t="s">
        <v>87</v>
      </c>
      <c r="I21" s="7" t="str">
        <f t="shared" si="0"/>
        <v>Chester A. Arthur</v>
      </c>
      <c r="J21" s="9">
        <v>135000</v>
      </c>
      <c r="K21" s="9">
        <f t="shared" si="1"/>
        <v>135000</v>
      </c>
      <c r="L21" s="9" t="str">
        <f t="shared" si="2"/>
        <v>Normal</v>
      </c>
      <c r="M21" s="10">
        <v>44391</v>
      </c>
      <c r="N21" s="10">
        <v>40972</v>
      </c>
    </row>
    <row r="22" spans="1:14">
      <c r="A22" s="7">
        <v>20</v>
      </c>
      <c r="B22" s="7">
        <v>21</v>
      </c>
      <c r="C22" s="7" t="s">
        <v>87</v>
      </c>
      <c r="D22" s="7" t="s">
        <v>87</v>
      </c>
      <c r="E22" s="7" t="s">
        <v>88</v>
      </c>
      <c r="F22" s="7" t="s">
        <v>6</v>
      </c>
      <c r="G22" s="7" t="s">
        <v>6</v>
      </c>
      <c r="H22" s="7" t="s">
        <v>59</v>
      </c>
      <c r="I22" s="7" t="str">
        <f t="shared" si="0"/>
        <v>Office Vacant</v>
      </c>
      <c r="J22" s="9">
        <v>145000</v>
      </c>
      <c r="K22" s="9">
        <f t="shared" si="1"/>
        <v>145000</v>
      </c>
      <c r="L22" s="9" t="str">
        <f t="shared" si="2"/>
        <v>Normal</v>
      </c>
      <c r="M22" s="10">
        <v>44391</v>
      </c>
      <c r="N22" s="10">
        <v>40972</v>
      </c>
    </row>
    <row r="23" spans="1:14">
      <c r="A23" s="7">
        <v>21</v>
      </c>
      <c r="B23" s="7">
        <v>22</v>
      </c>
      <c r="C23" s="7" t="s">
        <v>89</v>
      </c>
      <c r="D23" s="7" t="s">
        <v>89</v>
      </c>
      <c r="E23" s="7" t="s">
        <v>90</v>
      </c>
      <c r="F23" s="7" t="s">
        <v>2</v>
      </c>
      <c r="G23" s="7" t="s">
        <v>2</v>
      </c>
      <c r="H23" s="7" t="s">
        <v>91</v>
      </c>
      <c r="I23" s="7" t="str">
        <f t="shared" si="0"/>
        <v>Thomas A. Hendricks</v>
      </c>
      <c r="J23" s="9">
        <v>155000</v>
      </c>
      <c r="K23" s="9">
        <f t="shared" si="1"/>
        <v>155000</v>
      </c>
      <c r="L23" s="9" t="str">
        <f t="shared" si="2"/>
        <v>Normal</v>
      </c>
      <c r="M23" s="10">
        <v>44391</v>
      </c>
      <c r="N23" s="10">
        <v>40972</v>
      </c>
    </row>
    <row r="24" spans="1:14">
      <c r="A24" s="7">
        <v>22</v>
      </c>
      <c r="B24" s="7">
        <v>23</v>
      </c>
      <c r="C24" s="7" t="s">
        <v>92</v>
      </c>
      <c r="D24" s="7" t="s">
        <v>92</v>
      </c>
      <c r="E24" s="7" t="s">
        <v>93</v>
      </c>
      <c r="F24" s="7" t="s">
        <v>6</v>
      </c>
      <c r="G24" s="7" t="s">
        <v>6</v>
      </c>
      <c r="H24" s="7" t="s">
        <v>94</v>
      </c>
      <c r="I24" s="7" t="str">
        <f t="shared" si="0"/>
        <v>Levi P. Morton</v>
      </c>
      <c r="J24" s="9">
        <v>165000</v>
      </c>
      <c r="K24" s="9">
        <f t="shared" si="1"/>
        <v>165000</v>
      </c>
      <c r="L24" s="9" t="str">
        <f t="shared" si="2"/>
        <v>Normal</v>
      </c>
      <c r="M24" s="10">
        <v>44391</v>
      </c>
      <c r="N24" s="10">
        <v>40972</v>
      </c>
    </row>
    <row r="25" spans="1:14">
      <c r="A25" s="7">
        <v>23</v>
      </c>
      <c r="B25" s="7">
        <v>24</v>
      </c>
      <c r="C25" s="7" t="s">
        <v>89</v>
      </c>
      <c r="D25" s="7" t="s">
        <v>89</v>
      </c>
      <c r="E25" s="7" t="s">
        <v>95</v>
      </c>
      <c r="F25" s="7" t="s">
        <v>2</v>
      </c>
      <c r="G25" s="7" t="s">
        <v>2</v>
      </c>
      <c r="H25" s="7" t="s">
        <v>96</v>
      </c>
      <c r="I25" s="7" t="str">
        <f t="shared" si="0"/>
        <v>Adlai Stevenson</v>
      </c>
      <c r="J25" s="9">
        <v>175000</v>
      </c>
      <c r="K25" s="9">
        <f t="shared" si="1"/>
        <v>175000</v>
      </c>
      <c r="L25" s="9" t="str">
        <f t="shared" si="2"/>
        <v>Normal</v>
      </c>
      <c r="M25" s="10">
        <v>44391</v>
      </c>
      <c r="N25" s="10">
        <v>40972</v>
      </c>
    </row>
    <row r="26" spans="1:14">
      <c r="A26" s="7">
        <v>24</v>
      </c>
      <c r="B26" s="7">
        <v>25</v>
      </c>
      <c r="C26" s="7" t="s">
        <v>97</v>
      </c>
      <c r="D26" s="7" t="s">
        <v>98</v>
      </c>
      <c r="E26" s="7" t="s">
        <v>99</v>
      </c>
      <c r="F26" s="7" t="s">
        <v>6</v>
      </c>
      <c r="G26" s="7" t="s">
        <v>6</v>
      </c>
      <c r="H26" s="7" t="s">
        <v>100</v>
      </c>
      <c r="I26" s="7" t="str">
        <f t="shared" si="0"/>
        <v>Garret Hobart</v>
      </c>
      <c r="J26" s="9">
        <v>185000</v>
      </c>
      <c r="K26" s="9">
        <f t="shared" si="1"/>
        <v>185000</v>
      </c>
      <c r="L26" s="9" t="str">
        <f t="shared" si="2"/>
        <v>Normal</v>
      </c>
      <c r="M26" s="10">
        <v>44391</v>
      </c>
      <c r="N26" s="10">
        <v>40972</v>
      </c>
    </row>
    <row r="27" spans="1:14">
      <c r="A27" s="7">
        <v>25</v>
      </c>
      <c r="B27" s="7">
        <v>26</v>
      </c>
      <c r="C27" s="7" t="s">
        <v>101</v>
      </c>
      <c r="D27" s="7" t="s">
        <v>101</v>
      </c>
      <c r="E27" s="7" t="s">
        <v>102</v>
      </c>
      <c r="F27" s="7" t="s">
        <v>6</v>
      </c>
      <c r="G27" s="7" t="s">
        <v>6</v>
      </c>
      <c r="H27" s="7" t="s">
        <v>59</v>
      </c>
      <c r="I27" s="7" t="str">
        <f t="shared" si="0"/>
        <v>Office Vacant</v>
      </c>
      <c r="J27" s="9">
        <v>195000</v>
      </c>
      <c r="K27" s="9">
        <f t="shared" si="1"/>
        <v>195000</v>
      </c>
      <c r="L27" s="9" t="str">
        <f t="shared" si="2"/>
        <v>Normal</v>
      </c>
      <c r="M27" s="10">
        <v>44391</v>
      </c>
      <c r="N27" s="10">
        <v>40972</v>
      </c>
    </row>
    <row r="28" spans="1:14">
      <c r="A28" s="7">
        <v>26</v>
      </c>
      <c r="B28" s="7">
        <v>27</v>
      </c>
      <c r="C28" s="7" t="s">
        <v>103</v>
      </c>
      <c r="D28" s="7" t="s">
        <v>103</v>
      </c>
      <c r="E28" s="7" t="s">
        <v>104</v>
      </c>
      <c r="F28" s="7" t="s">
        <v>6</v>
      </c>
      <c r="G28" s="7" t="s">
        <v>6</v>
      </c>
      <c r="H28" s="7" t="s">
        <v>105</v>
      </c>
      <c r="I28" s="7" t="str">
        <f t="shared" si="0"/>
        <v>James S. Sherman</v>
      </c>
      <c r="J28" s="9">
        <v>205000</v>
      </c>
      <c r="K28" s="9">
        <f t="shared" si="1"/>
        <v>205000</v>
      </c>
      <c r="L28" s="9" t="str">
        <f t="shared" si="2"/>
        <v>High</v>
      </c>
      <c r="M28" s="10">
        <v>44391</v>
      </c>
      <c r="N28" s="10">
        <v>40972</v>
      </c>
    </row>
    <row r="29" spans="1:14">
      <c r="A29" s="7">
        <v>27</v>
      </c>
      <c r="B29" s="7">
        <v>28</v>
      </c>
      <c r="C29" s="7" t="s">
        <v>106</v>
      </c>
      <c r="D29" s="7" t="s">
        <v>106</v>
      </c>
      <c r="E29" s="7" t="s">
        <v>107</v>
      </c>
      <c r="F29" s="7" t="s">
        <v>2</v>
      </c>
      <c r="G29" s="7" t="s">
        <v>2</v>
      </c>
      <c r="H29" s="7" t="s">
        <v>108</v>
      </c>
      <c r="I29" s="7" t="str">
        <f t="shared" si="0"/>
        <v>Thomas R. Marshall</v>
      </c>
      <c r="J29" s="9">
        <v>225000</v>
      </c>
      <c r="K29" s="9">
        <f t="shared" si="1"/>
        <v>225000</v>
      </c>
      <c r="L29" s="9" t="str">
        <f t="shared" si="2"/>
        <v>High</v>
      </c>
      <c r="M29" s="10">
        <v>44391</v>
      </c>
      <c r="N29" s="10">
        <v>40972</v>
      </c>
    </row>
    <row r="30" spans="1:14">
      <c r="A30" s="7">
        <v>27</v>
      </c>
      <c r="B30" s="7">
        <v>28</v>
      </c>
      <c r="C30" s="7" t="s">
        <v>106</v>
      </c>
      <c r="D30" s="7" t="s">
        <v>106</v>
      </c>
      <c r="E30" s="7" t="s">
        <v>107</v>
      </c>
      <c r="F30" s="7" t="s">
        <v>2</v>
      </c>
      <c r="G30" s="7" t="s">
        <v>2</v>
      </c>
      <c r="H30" s="7" t="s">
        <v>108</v>
      </c>
      <c r="I30" s="7" t="str">
        <f t="shared" si="0"/>
        <v>Thomas R. Marshall</v>
      </c>
      <c r="J30" s="9">
        <v>225000</v>
      </c>
      <c r="K30" s="9">
        <f t="shared" si="1"/>
        <v>225000</v>
      </c>
      <c r="L30" s="9" t="str">
        <f t="shared" si="2"/>
        <v>High</v>
      </c>
      <c r="M30" s="10">
        <v>44391</v>
      </c>
      <c r="N30" s="10">
        <v>40972</v>
      </c>
    </row>
    <row r="31" spans="1:14">
      <c r="A31" s="7">
        <v>28</v>
      </c>
      <c r="B31" s="7">
        <v>29</v>
      </c>
      <c r="C31" s="7" t="s">
        <v>109</v>
      </c>
      <c r="D31" s="7" t="s">
        <v>109</v>
      </c>
      <c r="E31" s="7" t="s">
        <v>110</v>
      </c>
      <c r="F31" s="7" t="s">
        <v>6</v>
      </c>
      <c r="G31" s="7" t="s">
        <v>6</v>
      </c>
      <c r="H31" s="7" t="s">
        <v>111</v>
      </c>
      <c r="I31" s="7" t="str">
        <f t="shared" si="0"/>
        <v>Calvin Coolidge</v>
      </c>
      <c r="J31" s="9">
        <v>235000</v>
      </c>
      <c r="K31" s="9">
        <f t="shared" si="1"/>
        <v>235000</v>
      </c>
      <c r="L31" s="9" t="str">
        <f t="shared" si="2"/>
        <v>High</v>
      </c>
      <c r="M31" s="10">
        <v>44391</v>
      </c>
      <c r="N31" s="10">
        <v>40972</v>
      </c>
    </row>
    <row r="32" spans="1:14">
      <c r="A32" s="7">
        <v>29</v>
      </c>
      <c r="B32" s="7">
        <v>30</v>
      </c>
      <c r="C32" s="7" t="s">
        <v>111</v>
      </c>
      <c r="D32" s="7" t="s">
        <v>111</v>
      </c>
      <c r="E32" s="7" t="s">
        <v>112</v>
      </c>
      <c r="F32" s="7" t="s">
        <v>6</v>
      </c>
      <c r="G32" s="7" t="s">
        <v>6</v>
      </c>
      <c r="H32" s="7" t="s">
        <v>59</v>
      </c>
      <c r="I32" s="7" t="str">
        <f t="shared" si="0"/>
        <v>Office Vacant</v>
      </c>
      <c r="J32" s="9">
        <v>245000</v>
      </c>
      <c r="K32" s="9">
        <f t="shared" si="1"/>
        <v>245000</v>
      </c>
      <c r="L32" s="9" t="str">
        <f t="shared" si="2"/>
        <v>High</v>
      </c>
      <c r="M32" s="10">
        <v>44391</v>
      </c>
      <c r="N32" s="10">
        <v>40972</v>
      </c>
    </row>
    <row r="33" spans="1:14">
      <c r="A33" s="7">
        <v>30</v>
      </c>
      <c r="B33" s="7">
        <v>31</v>
      </c>
      <c r="C33" s="7" t="s">
        <v>113</v>
      </c>
      <c r="D33" s="7" t="s">
        <v>113</v>
      </c>
      <c r="E33" s="7" t="s">
        <v>114</v>
      </c>
      <c r="F33" s="7" t="s">
        <v>6</v>
      </c>
      <c r="G33" s="7" t="s">
        <v>6</v>
      </c>
      <c r="H33" s="7" t="s">
        <v>115</v>
      </c>
      <c r="I33" s="7" t="str">
        <f t="shared" si="0"/>
        <v>Charles Curtis</v>
      </c>
      <c r="J33" s="9">
        <v>255000</v>
      </c>
      <c r="K33" s="9">
        <f t="shared" si="1"/>
        <v>255000</v>
      </c>
      <c r="L33" s="9" t="str">
        <f t="shared" si="2"/>
        <v>High</v>
      </c>
      <c r="M33" s="10">
        <v>44391</v>
      </c>
      <c r="N33" s="10">
        <v>40972</v>
      </c>
    </row>
    <row r="34" spans="1:14">
      <c r="A34" s="7">
        <v>31</v>
      </c>
      <c r="B34" s="7">
        <v>32</v>
      </c>
      <c r="C34" s="7" t="s">
        <v>116</v>
      </c>
      <c r="D34" s="7" t="s">
        <v>116</v>
      </c>
      <c r="E34" s="7" t="s">
        <v>117</v>
      </c>
      <c r="F34" s="7" t="s">
        <v>2</v>
      </c>
      <c r="G34" s="7" t="s">
        <v>2</v>
      </c>
      <c r="H34" s="7" t="s">
        <v>118</v>
      </c>
      <c r="I34" s="7" t="str">
        <f t="shared" si="0"/>
        <v>John Nance Garner</v>
      </c>
      <c r="J34" s="9">
        <v>265000</v>
      </c>
      <c r="K34" s="9">
        <f t="shared" si="1"/>
        <v>265000</v>
      </c>
      <c r="L34" s="9" t="str">
        <f t="shared" si="2"/>
        <v>High</v>
      </c>
      <c r="M34" s="10">
        <v>44391</v>
      </c>
      <c r="N34" s="10">
        <v>40972</v>
      </c>
    </row>
    <row r="35" spans="1:14">
      <c r="A35" s="7">
        <v>32</v>
      </c>
      <c r="B35" s="7">
        <v>33</v>
      </c>
      <c r="C35" s="7" t="s">
        <v>119</v>
      </c>
      <c r="D35" s="7" t="s">
        <v>119</v>
      </c>
      <c r="E35" s="7" t="s">
        <v>120</v>
      </c>
      <c r="F35" s="7" t="s">
        <v>2</v>
      </c>
      <c r="G35" s="7" t="s">
        <v>2</v>
      </c>
      <c r="H35" s="7" t="s">
        <v>59</v>
      </c>
      <c r="I35" s="7" t="str">
        <f t="shared" si="0"/>
        <v>Office Vacant</v>
      </c>
      <c r="J35" s="9">
        <v>275000</v>
      </c>
      <c r="K35" s="9">
        <f t="shared" si="1"/>
        <v>275000</v>
      </c>
      <c r="L35" s="9" t="str">
        <f t="shared" si="2"/>
        <v>High</v>
      </c>
      <c r="M35" s="10">
        <v>44391</v>
      </c>
      <c r="N35" s="10">
        <v>40972</v>
      </c>
    </row>
    <row r="36" spans="1:14">
      <c r="A36" s="7">
        <v>33</v>
      </c>
      <c r="B36" s="7">
        <v>34</v>
      </c>
      <c r="C36" s="7" t="s">
        <v>121</v>
      </c>
      <c r="D36" s="7" t="s">
        <v>121</v>
      </c>
      <c r="E36" s="7" t="s">
        <v>122</v>
      </c>
      <c r="F36" s="7" t="s">
        <v>6</v>
      </c>
      <c r="G36" s="7" t="s">
        <v>6</v>
      </c>
      <c r="H36" s="7" t="s">
        <v>123</v>
      </c>
      <c r="I36" s="7" t="str">
        <f t="shared" si="0"/>
        <v>Richard Nixon</v>
      </c>
      <c r="J36" s="9">
        <v>285000</v>
      </c>
      <c r="K36" s="9">
        <f t="shared" si="1"/>
        <v>285000</v>
      </c>
      <c r="L36" s="9" t="str">
        <f t="shared" si="2"/>
        <v>High</v>
      </c>
      <c r="M36" s="10">
        <v>44391</v>
      </c>
      <c r="N36" s="10">
        <v>40972</v>
      </c>
    </row>
    <row r="37" spans="1:14">
      <c r="A37" s="7">
        <v>34</v>
      </c>
      <c r="B37" s="7">
        <v>35</v>
      </c>
      <c r="C37" s="7" t="s">
        <v>124</v>
      </c>
      <c r="D37" s="7" t="s">
        <v>124</v>
      </c>
      <c r="E37" s="7" t="s">
        <v>125</v>
      </c>
      <c r="F37" s="7" t="s">
        <v>2</v>
      </c>
      <c r="G37" s="7" t="s">
        <v>2</v>
      </c>
      <c r="H37" s="7" t="s">
        <v>126</v>
      </c>
      <c r="I37" s="7" t="str">
        <f t="shared" si="0"/>
        <v>Lyndon B. Johnson</v>
      </c>
      <c r="J37" s="9">
        <v>295000</v>
      </c>
      <c r="K37" s="9">
        <f t="shared" si="1"/>
        <v>295000</v>
      </c>
      <c r="L37" s="9" t="str">
        <f t="shared" si="2"/>
        <v>High</v>
      </c>
      <c r="M37" s="10">
        <v>44391</v>
      </c>
      <c r="N37" s="10">
        <v>40972</v>
      </c>
    </row>
    <row r="38" spans="1:14">
      <c r="A38" s="7">
        <v>35</v>
      </c>
      <c r="B38" s="7">
        <v>36</v>
      </c>
      <c r="C38" s="7" t="s">
        <v>126</v>
      </c>
      <c r="D38" s="7" t="s">
        <v>126</v>
      </c>
      <c r="E38" s="7" t="s">
        <v>127</v>
      </c>
      <c r="F38" s="7" t="s">
        <v>2</v>
      </c>
      <c r="G38" s="7" t="s">
        <v>2</v>
      </c>
      <c r="H38" s="7" t="s">
        <v>59</v>
      </c>
      <c r="I38" s="7" t="str">
        <f t="shared" si="0"/>
        <v>Office Vacant</v>
      </c>
      <c r="J38" s="9">
        <v>305000</v>
      </c>
      <c r="K38" s="9">
        <f t="shared" si="1"/>
        <v>305000</v>
      </c>
      <c r="L38" s="9" t="str">
        <f t="shared" si="2"/>
        <v>High</v>
      </c>
      <c r="M38" s="10">
        <v>44391</v>
      </c>
      <c r="N38" s="10">
        <v>40972</v>
      </c>
    </row>
    <row r="39" spans="1:14">
      <c r="A39" s="7">
        <v>36</v>
      </c>
      <c r="B39" s="7">
        <v>37</v>
      </c>
      <c r="C39" s="7" t="s">
        <v>123</v>
      </c>
      <c r="D39" s="7" t="s">
        <v>123</v>
      </c>
      <c r="E39" s="7" t="s">
        <v>128</v>
      </c>
      <c r="F39" s="7" t="s">
        <v>6</v>
      </c>
      <c r="G39" s="7" t="s">
        <v>6</v>
      </c>
      <c r="H39" s="7" t="s">
        <v>129</v>
      </c>
      <c r="I39" s="7" t="str">
        <f t="shared" si="0"/>
        <v>Spiro Agnew</v>
      </c>
      <c r="J39" s="9">
        <v>315000</v>
      </c>
      <c r="K39" s="9">
        <f t="shared" si="1"/>
        <v>315000</v>
      </c>
      <c r="L39" s="9" t="str">
        <f t="shared" si="2"/>
        <v>High</v>
      </c>
      <c r="M39" s="10">
        <v>44391</v>
      </c>
      <c r="N39" s="10">
        <v>40972</v>
      </c>
    </row>
    <row r="40" spans="1:14">
      <c r="A40" s="7">
        <v>37</v>
      </c>
      <c r="B40" s="7">
        <v>38</v>
      </c>
      <c r="C40" s="7" t="s">
        <v>130</v>
      </c>
      <c r="D40" s="7" t="s">
        <v>130</v>
      </c>
      <c r="E40" s="7" t="s">
        <v>131</v>
      </c>
      <c r="F40" s="7" t="s">
        <v>6</v>
      </c>
      <c r="G40" s="7" t="s">
        <v>6</v>
      </c>
      <c r="H40" s="7" t="s">
        <v>59</v>
      </c>
      <c r="I40" s="7" t="str">
        <f t="shared" si="0"/>
        <v>Office Vacant</v>
      </c>
      <c r="J40" s="9">
        <v>325000</v>
      </c>
      <c r="K40" s="9">
        <f t="shared" si="1"/>
        <v>325000</v>
      </c>
      <c r="L40" s="9" t="str">
        <f t="shared" si="2"/>
        <v>High</v>
      </c>
      <c r="M40" s="10">
        <v>44391</v>
      </c>
      <c r="N40" s="10">
        <v>40972</v>
      </c>
    </row>
    <row r="41" spans="1:14">
      <c r="A41" s="7">
        <v>38</v>
      </c>
      <c r="B41" s="7">
        <v>39</v>
      </c>
      <c r="C41" s="7" t="s">
        <v>132</v>
      </c>
      <c r="D41" s="7" t="s">
        <v>132</v>
      </c>
      <c r="E41" s="7" t="s">
        <v>133</v>
      </c>
      <c r="F41" s="7" t="s">
        <v>2</v>
      </c>
      <c r="G41" s="7" t="s">
        <v>2</v>
      </c>
      <c r="H41" s="7" t="s">
        <v>134</v>
      </c>
      <c r="I41" s="7" t="str">
        <f t="shared" si="0"/>
        <v>Walter Mondale</v>
      </c>
      <c r="J41" s="9">
        <v>335000</v>
      </c>
      <c r="K41" s="9">
        <f t="shared" si="1"/>
        <v>335000</v>
      </c>
      <c r="L41" s="9" t="str">
        <f t="shared" si="2"/>
        <v>High</v>
      </c>
      <c r="M41" s="10">
        <v>44391</v>
      </c>
      <c r="N41" s="10">
        <v>40972</v>
      </c>
    </row>
    <row r="42" spans="1:14">
      <c r="A42" s="7">
        <v>39</v>
      </c>
      <c r="B42" s="7">
        <v>40</v>
      </c>
      <c r="C42" s="7" t="s">
        <v>135</v>
      </c>
      <c r="D42" s="7" t="s">
        <v>135</v>
      </c>
      <c r="E42" s="7" t="s">
        <v>136</v>
      </c>
      <c r="F42" s="7" t="s">
        <v>6</v>
      </c>
      <c r="G42" s="7" t="s">
        <v>6</v>
      </c>
      <c r="H42" s="7" t="s">
        <v>137</v>
      </c>
      <c r="I42" s="7" t="str">
        <f t="shared" si="0"/>
        <v>George H. W. Bush</v>
      </c>
      <c r="J42" s="9">
        <v>345000</v>
      </c>
      <c r="K42" s="9">
        <f t="shared" si="1"/>
        <v>345000</v>
      </c>
      <c r="L42" s="9" t="str">
        <f t="shared" si="2"/>
        <v>High</v>
      </c>
      <c r="M42" s="10">
        <v>44391</v>
      </c>
      <c r="N42" s="10">
        <v>40972</v>
      </c>
    </row>
    <row r="43" spans="1:14">
      <c r="A43" s="7">
        <v>40</v>
      </c>
      <c r="B43" s="7">
        <v>41</v>
      </c>
      <c r="C43" s="7" t="s">
        <v>137</v>
      </c>
      <c r="D43" s="7" t="s">
        <v>137</v>
      </c>
      <c r="E43" s="7" t="s">
        <v>138</v>
      </c>
      <c r="F43" s="7" t="s">
        <v>6</v>
      </c>
      <c r="G43" s="7" t="s">
        <v>6</v>
      </c>
      <c r="H43" s="7" t="s">
        <v>139</v>
      </c>
      <c r="I43" s="7" t="str">
        <f t="shared" si="0"/>
        <v>Dan Quayle</v>
      </c>
      <c r="J43" s="9">
        <v>355000</v>
      </c>
      <c r="K43" s="9">
        <f t="shared" si="1"/>
        <v>355000</v>
      </c>
      <c r="L43" s="9" t="str">
        <f t="shared" si="2"/>
        <v>High</v>
      </c>
      <c r="M43" s="10">
        <v>44391</v>
      </c>
      <c r="N43" s="10">
        <v>40972</v>
      </c>
    </row>
    <row r="44" spans="1:14">
      <c r="A44" s="7">
        <v>41</v>
      </c>
      <c r="B44" s="7">
        <v>42</v>
      </c>
      <c r="C44" s="7" t="s">
        <v>140</v>
      </c>
      <c r="D44" s="7" t="s">
        <v>140</v>
      </c>
      <c r="E44" s="7" t="s">
        <v>141</v>
      </c>
      <c r="F44" s="7" t="s">
        <v>2</v>
      </c>
      <c r="G44" s="7" t="s">
        <v>2</v>
      </c>
      <c r="H44" s="7" t="s">
        <v>142</v>
      </c>
      <c r="I44" s="7" t="str">
        <f t="shared" si="0"/>
        <v>Al Gore</v>
      </c>
      <c r="J44" s="9">
        <v>365000</v>
      </c>
      <c r="K44" s="9">
        <f t="shared" si="1"/>
        <v>365000</v>
      </c>
      <c r="L44" s="9" t="str">
        <f t="shared" si="2"/>
        <v>High</v>
      </c>
      <c r="M44" s="10">
        <v>44391</v>
      </c>
      <c r="N44" s="10">
        <v>40972</v>
      </c>
    </row>
    <row r="45" spans="1:14">
      <c r="A45" s="7">
        <v>42</v>
      </c>
      <c r="B45" s="7">
        <v>43</v>
      </c>
      <c r="C45" s="7" t="s">
        <v>143</v>
      </c>
      <c r="D45" s="7" t="s">
        <v>143</v>
      </c>
      <c r="E45" s="7" t="s">
        <v>144</v>
      </c>
      <c r="F45" s="7" t="s">
        <v>6</v>
      </c>
      <c r="G45" s="7" t="s">
        <v>6</v>
      </c>
      <c r="H45" s="7" t="s">
        <v>145</v>
      </c>
      <c r="I45" s="7" t="str">
        <f t="shared" si="0"/>
        <v>Dick Cheney</v>
      </c>
      <c r="J45" s="9">
        <v>375000</v>
      </c>
      <c r="K45" s="9">
        <f t="shared" si="1"/>
        <v>375000</v>
      </c>
      <c r="L45" s="9" t="str">
        <f t="shared" si="2"/>
        <v>High</v>
      </c>
      <c r="M45" s="10">
        <v>44391</v>
      </c>
      <c r="N45" s="10">
        <v>40972</v>
      </c>
    </row>
    <row r="46" spans="1:14">
      <c r="A46" s="7">
        <v>43</v>
      </c>
      <c r="B46" s="7">
        <v>44</v>
      </c>
      <c r="C46" s="7" t="s">
        <v>146</v>
      </c>
      <c r="D46" s="7" t="s">
        <v>146</v>
      </c>
      <c r="E46" s="7" t="s">
        <v>147</v>
      </c>
      <c r="F46" s="7" t="s">
        <v>2</v>
      </c>
      <c r="G46" s="7" t="s">
        <v>2</v>
      </c>
      <c r="H46" s="7" t="s">
        <v>148</v>
      </c>
      <c r="I46" s="7" t="str">
        <f t="shared" si="0"/>
        <v>Joe Biden</v>
      </c>
      <c r="J46" s="9">
        <v>395000</v>
      </c>
      <c r="K46" s="9">
        <f t="shared" si="1"/>
        <v>395000</v>
      </c>
      <c r="L46" s="9" t="str">
        <f t="shared" si="2"/>
        <v>High</v>
      </c>
      <c r="M46" s="11">
        <v>44391</v>
      </c>
      <c r="N46" s="11">
        <v>43862</v>
      </c>
    </row>
    <row r="47" spans="1:14">
      <c r="A47" s="7">
        <v>44</v>
      </c>
      <c r="B47" s="7">
        <v>45</v>
      </c>
      <c r="C47" s="7" t="s">
        <v>149</v>
      </c>
      <c r="D47" s="7" t="s">
        <v>149</v>
      </c>
      <c r="E47" s="7" t="s">
        <v>150</v>
      </c>
      <c r="F47" s="7" t="s">
        <v>6</v>
      </c>
      <c r="G47" s="7" t="s">
        <v>6</v>
      </c>
      <c r="H47" s="7" t="s">
        <v>151</v>
      </c>
      <c r="I47" s="7" t="str">
        <f t="shared" si="0"/>
        <v>Mike Pence</v>
      </c>
      <c r="J47" s="9">
        <v>405000</v>
      </c>
      <c r="K47" s="9">
        <f t="shared" si="1"/>
        <v>405000</v>
      </c>
      <c r="L47" s="9" t="str">
        <f t="shared" si="2"/>
        <v>High</v>
      </c>
      <c r="M47" s="11">
        <v>44391</v>
      </c>
      <c r="N47" s="11">
        <v>43862</v>
      </c>
    </row>
    <row r="48" spans="1:14">
      <c r="J48" s="7"/>
    </row>
  </sheetData>
  <phoneticPr fontId="18" type="noConversion"/>
  <pageMargins left="0.7" right="0.7" top="0.75" bottom="0.75" header="0.3" footer="0.3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selection activeCell="A13" sqref="A13"/>
    </sheetView>
  </sheetViews>
  <sheetFormatPr defaultColWidth="23.5703125" defaultRowHeight="14.45"/>
  <cols>
    <col min="7" max="7" width="23.5703125" style="3"/>
  </cols>
  <sheetData>
    <row r="1" spans="1:9">
      <c r="B1" t="s">
        <v>18</v>
      </c>
      <c r="C1" t="s">
        <v>19</v>
      </c>
      <c r="D1" t="s">
        <v>21</v>
      </c>
      <c r="E1" t="s">
        <v>0</v>
      </c>
      <c r="F1" t="s">
        <v>22</v>
      </c>
      <c r="G1" s="3" t="s">
        <v>24</v>
      </c>
      <c r="H1" t="s">
        <v>26</v>
      </c>
      <c r="I1" t="s">
        <v>27</v>
      </c>
    </row>
    <row r="2" spans="1:9">
      <c r="A2">
        <v>0</v>
      </c>
      <c r="B2">
        <v>1</v>
      </c>
      <c r="C2" t="s">
        <v>30</v>
      </c>
      <c r="D2" t="s">
        <v>152</v>
      </c>
      <c r="E2" t="s">
        <v>5</v>
      </c>
      <c r="F2" t="s">
        <v>32</v>
      </c>
      <c r="G2" s="4">
        <v>5000</v>
      </c>
      <c r="H2" s="1">
        <v>44391</v>
      </c>
      <c r="I2" s="1">
        <v>40972</v>
      </c>
    </row>
    <row r="3" spans="1:9">
      <c r="A3">
        <v>1</v>
      </c>
      <c r="B3">
        <v>2</v>
      </c>
      <c r="C3" t="s">
        <v>33</v>
      </c>
      <c r="D3" t="s">
        <v>34</v>
      </c>
      <c r="E3" t="s">
        <v>4</v>
      </c>
      <c r="F3" t="s">
        <v>35</v>
      </c>
      <c r="G3" s="4">
        <v>10000</v>
      </c>
      <c r="H3" s="1">
        <v>44391</v>
      </c>
      <c r="I3" s="1">
        <v>40972</v>
      </c>
    </row>
    <row r="4" spans="1:9">
      <c r="A4">
        <v>2</v>
      </c>
      <c r="B4">
        <v>3</v>
      </c>
      <c r="C4" t="s">
        <v>35</v>
      </c>
      <c r="D4" t="s">
        <v>36</v>
      </c>
      <c r="E4" t="s">
        <v>3</v>
      </c>
      <c r="F4" t="s">
        <v>37</v>
      </c>
      <c r="G4" s="4">
        <v>15000</v>
      </c>
      <c r="H4" s="1">
        <v>44391</v>
      </c>
      <c r="I4" s="1">
        <v>40972</v>
      </c>
    </row>
    <row r="5" spans="1:9">
      <c r="A5">
        <v>3</v>
      </c>
      <c r="B5">
        <v>4</v>
      </c>
      <c r="C5" t="s">
        <v>38</v>
      </c>
      <c r="D5" t="s">
        <v>153</v>
      </c>
      <c r="E5" t="s">
        <v>3</v>
      </c>
      <c r="F5" t="s">
        <v>40</v>
      </c>
      <c r="G5" s="4">
        <v>20000</v>
      </c>
      <c r="H5" s="1">
        <v>44391</v>
      </c>
      <c r="I5" s="1">
        <v>40972</v>
      </c>
    </row>
    <row r="6" spans="1:9">
      <c r="A6">
        <v>4</v>
      </c>
      <c r="B6">
        <v>5</v>
      </c>
      <c r="C6" t="s">
        <v>41</v>
      </c>
      <c r="D6" t="s">
        <v>154</v>
      </c>
      <c r="E6" t="s">
        <v>3</v>
      </c>
      <c r="F6" t="s">
        <v>44</v>
      </c>
      <c r="G6" s="4">
        <v>25000</v>
      </c>
      <c r="H6" s="1">
        <v>44391</v>
      </c>
      <c r="I6" s="1">
        <v>40972</v>
      </c>
    </row>
    <row r="7" spans="1:9">
      <c r="A7">
        <v>5</v>
      </c>
      <c r="B7">
        <v>6</v>
      </c>
      <c r="C7" t="s">
        <v>45</v>
      </c>
      <c r="D7" t="s">
        <v>155</v>
      </c>
      <c r="E7" t="s">
        <v>3</v>
      </c>
      <c r="F7" t="s">
        <v>47</v>
      </c>
      <c r="G7" s="4">
        <v>30000</v>
      </c>
      <c r="H7" s="1">
        <v>44391</v>
      </c>
      <c r="I7" s="1">
        <v>40972</v>
      </c>
    </row>
    <row r="8" spans="1:9">
      <c r="A8">
        <v>6</v>
      </c>
      <c r="B8">
        <v>7</v>
      </c>
      <c r="C8" t="s">
        <v>48</v>
      </c>
      <c r="D8" t="s">
        <v>156</v>
      </c>
      <c r="E8" t="s">
        <v>2</v>
      </c>
      <c r="F8" t="s">
        <v>50</v>
      </c>
      <c r="G8" s="4">
        <v>35000</v>
      </c>
      <c r="H8" s="1">
        <v>44391</v>
      </c>
      <c r="I8" s="1">
        <v>40972</v>
      </c>
    </row>
    <row r="9" spans="1:9">
      <c r="A9">
        <v>7</v>
      </c>
      <c r="B9">
        <v>8</v>
      </c>
      <c r="C9" t="s">
        <v>51</v>
      </c>
      <c r="D9" t="s">
        <v>52</v>
      </c>
      <c r="E9" t="s">
        <v>2</v>
      </c>
      <c r="F9" t="s">
        <v>53</v>
      </c>
      <c r="G9" s="4">
        <v>40000</v>
      </c>
      <c r="H9" s="1">
        <v>44391</v>
      </c>
      <c r="I9" s="1">
        <v>40972</v>
      </c>
    </row>
    <row r="10" spans="1:9">
      <c r="A10">
        <v>8</v>
      </c>
      <c r="B10">
        <v>9</v>
      </c>
      <c r="C10" t="s">
        <v>54</v>
      </c>
      <c r="D10" t="s">
        <v>157</v>
      </c>
      <c r="E10" t="s">
        <v>7</v>
      </c>
      <c r="F10" t="s">
        <v>56</v>
      </c>
      <c r="G10" s="4">
        <v>45000</v>
      </c>
      <c r="H10" s="1">
        <v>44391</v>
      </c>
      <c r="I10" s="1">
        <v>40972</v>
      </c>
    </row>
    <row r="11" spans="1:9">
      <c r="A11">
        <v>9</v>
      </c>
      <c r="B11">
        <v>10</v>
      </c>
      <c r="C11" t="s">
        <v>57</v>
      </c>
      <c r="D11" t="s">
        <v>58</v>
      </c>
      <c r="E11" t="s">
        <v>158</v>
      </c>
      <c r="F11" t="s">
        <v>59</v>
      </c>
      <c r="G11" s="4">
        <v>50000</v>
      </c>
      <c r="H11" s="1">
        <v>44391</v>
      </c>
      <c r="I11" s="1">
        <v>40972</v>
      </c>
    </row>
    <row r="12" spans="1:9">
      <c r="A12">
        <v>10</v>
      </c>
      <c r="B12">
        <v>11</v>
      </c>
      <c r="C12" t="s">
        <v>60</v>
      </c>
      <c r="D12" t="s">
        <v>159</v>
      </c>
      <c r="E12" t="s">
        <v>2</v>
      </c>
      <c r="F12" t="s">
        <v>62</v>
      </c>
      <c r="G12" s="4">
        <v>55000</v>
      </c>
      <c r="H12" s="1">
        <v>44391</v>
      </c>
      <c r="I12" s="1">
        <v>40972</v>
      </c>
    </row>
    <row r="13" spans="1:9">
      <c r="A13">
        <v>11</v>
      </c>
      <c r="B13">
        <v>12</v>
      </c>
      <c r="C13" t="s">
        <v>63</v>
      </c>
      <c r="D13" t="s">
        <v>160</v>
      </c>
      <c r="E13" t="s">
        <v>7</v>
      </c>
      <c r="F13" t="s">
        <v>65</v>
      </c>
      <c r="G13" s="4">
        <v>60000</v>
      </c>
      <c r="H13" s="1">
        <v>44391</v>
      </c>
      <c r="I13" s="1">
        <v>40972</v>
      </c>
    </row>
    <row r="14" spans="1:9">
      <c r="A14">
        <v>12</v>
      </c>
      <c r="B14">
        <v>13</v>
      </c>
      <c r="C14" t="s">
        <v>66</v>
      </c>
      <c r="D14" t="s">
        <v>67</v>
      </c>
      <c r="E14" t="s">
        <v>7</v>
      </c>
      <c r="F14" t="s">
        <v>59</v>
      </c>
      <c r="G14" s="4">
        <v>65000</v>
      </c>
      <c r="H14" s="1">
        <v>44391</v>
      </c>
      <c r="I14" s="1">
        <v>40972</v>
      </c>
    </row>
    <row r="15" spans="1:9">
      <c r="A15">
        <v>13</v>
      </c>
      <c r="B15">
        <v>14</v>
      </c>
      <c r="C15" t="s">
        <v>68</v>
      </c>
      <c r="D15" t="s">
        <v>161</v>
      </c>
      <c r="E15" t="s">
        <v>2</v>
      </c>
      <c r="F15" t="s">
        <v>70</v>
      </c>
      <c r="G15" s="4">
        <v>75000</v>
      </c>
      <c r="H15" s="1">
        <v>44391</v>
      </c>
      <c r="I15" s="1">
        <v>40972</v>
      </c>
    </row>
    <row r="16" spans="1:9">
      <c r="A16">
        <v>14</v>
      </c>
      <c r="B16">
        <v>15</v>
      </c>
      <c r="C16" t="s">
        <v>71</v>
      </c>
      <c r="D16" t="s">
        <v>162</v>
      </c>
      <c r="E16" t="s">
        <v>2</v>
      </c>
      <c r="F16" t="s">
        <v>73</v>
      </c>
      <c r="G16" s="4">
        <v>85000</v>
      </c>
      <c r="H16" s="1">
        <v>44391</v>
      </c>
      <c r="I16" s="1">
        <v>40972</v>
      </c>
    </row>
    <row r="17" spans="1:9">
      <c r="A17">
        <v>15</v>
      </c>
      <c r="B17">
        <v>16</v>
      </c>
      <c r="C17" t="s">
        <v>74</v>
      </c>
      <c r="D17" t="s">
        <v>163</v>
      </c>
      <c r="E17" t="s">
        <v>6</v>
      </c>
      <c r="F17" t="s">
        <v>76</v>
      </c>
      <c r="G17" s="4">
        <v>95000</v>
      </c>
      <c r="H17" s="1">
        <v>44391</v>
      </c>
      <c r="I17" s="1">
        <v>40972</v>
      </c>
    </row>
    <row r="18" spans="1:9">
      <c r="A18">
        <v>16</v>
      </c>
      <c r="B18">
        <v>17</v>
      </c>
      <c r="C18" t="s">
        <v>77</v>
      </c>
      <c r="D18" t="s">
        <v>78</v>
      </c>
      <c r="E18" t="s">
        <v>2</v>
      </c>
      <c r="F18" t="s">
        <v>59</v>
      </c>
      <c r="G18" s="4">
        <v>105000</v>
      </c>
      <c r="H18" s="1">
        <v>44391</v>
      </c>
      <c r="I18" s="1">
        <v>40972</v>
      </c>
    </row>
    <row r="19" spans="1:9">
      <c r="A19">
        <v>17</v>
      </c>
      <c r="B19">
        <v>18</v>
      </c>
      <c r="C19" t="s">
        <v>79</v>
      </c>
      <c r="D19" t="s">
        <v>164</v>
      </c>
      <c r="E19" t="s">
        <v>6</v>
      </c>
      <c r="F19" t="s">
        <v>81</v>
      </c>
      <c r="G19" s="4">
        <v>115000</v>
      </c>
      <c r="H19" s="1">
        <v>44391</v>
      </c>
      <c r="I19" s="1">
        <v>40972</v>
      </c>
    </row>
    <row r="20" spans="1:9">
      <c r="A20">
        <v>18</v>
      </c>
      <c r="B20">
        <v>19</v>
      </c>
      <c r="C20" t="s">
        <v>82</v>
      </c>
      <c r="D20" t="s">
        <v>165</v>
      </c>
      <c r="E20" t="s">
        <v>6</v>
      </c>
      <c r="F20" t="s">
        <v>84</v>
      </c>
      <c r="G20" s="4">
        <v>125000</v>
      </c>
      <c r="H20" s="1">
        <v>44391</v>
      </c>
      <c r="I20" s="1">
        <v>40972</v>
      </c>
    </row>
    <row r="21" spans="1:9">
      <c r="A21">
        <v>19</v>
      </c>
      <c r="B21">
        <v>20</v>
      </c>
      <c r="C21" t="s">
        <v>85</v>
      </c>
      <c r="D21" t="s">
        <v>166</v>
      </c>
      <c r="E21" t="s">
        <v>6</v>
      </c>
      <c r="F21" t="s">
        <v>87</v>
      </c>
      <c r="G21" s="4">
        <v>135000</v>
      </c>
      <c r="H21" s="1">
        <v>44391</v>
      </c>
      <c r="I21" s="1">
        <v>40972</v>
      </c>
    </row>
    <row r="22" spans="1:9">
      <c r="A22">
        <v>20</v>
      </c>
      <c r="B22">
        <v>21</v>
      </c>
      <c r="C22" t="s">
        <v>87</v>
      </c>
      <c r="D22" t="s">
        <v>88</v>
      </c>
      <c r="E22" t="s">
        <v>6</v>
      </c>
      <c r="F22" t="s">
        <v>59</v>
      </c>
      <c r="G22" s="4">
        <v>145000</v>
      </c>
      <c r="H22" s="1">
        <v>44391</v>
      </c>
      <c r="I22" s="1">
        <v>40972</v>
      </c>
    </row>
    <row r="23" spans="1:9">
      <c r="A23">
        <v>21</v>
      </c>
      <c r="B23">
        <v>22</v>
      </c>
      <c r="C23" t="s">
        <v>89</v>
      </c>
      <c r="D23" t="s">
        <v>167</v>
      </c>
      <c r="E23" t="s">
        <v>2</v>
      </c>
      <c r="F23" t="s">
        <v>91</v>
      </c>
      <c r="G23" s="4">
        <v>155000</v>
      </c>
      <c r="H23" s="1">
        <v>44391</v>
      </c>
      <c r="I23" s="1">
        <v>40972</v>
      </c>
    </row>
    <row r="24" spans="1:9">
      <c r="A24">
        <v>22</v>
      </c>
      <c r="B24">
        <v>23</v>
      </c>
      <c r="C24" t="s">
        <v>92</v>
      </c>
      <c r="D24" t="s">
        <v>168</v>
      </c>
      <c r="E24" t="s">
        <v>6</v>
      </c>
      <c r="F24" t="s">
        <v>94</v>
      </c>
      <c r="G24" s="4">
        <v>165000</v>
      </c>
      <c r="H24" s="1">
        <v>44391</v>
      </c>
      <c r="I24" s="1">
        <v>40972</v>
      </c>
    </row>
    <row r="25" spans="1:9">
      <c r="A25">
        <v>23</v>
      </c>
      <c r="B25">
        <v>24</v>
      </c>
      <c r="C25" t="s">
        <v>89</v>
      </c>
      <c r="D25" t="s">
        <v>169</v>
      </c>
      <c r="E25" t="s">
        <v>2</v>
      </c>
      <c r="F25" t="s">
        <v>96</v>
      </c>
      <c r="G25" s="4">
        <v>175000</v>
      </c>
      <c r="H25" s="1">
        <v>44391</v>
      </c>
      <c r="I25" s="1">
        <v>40972</v>
      </c>
    </row>
    <row r="26" spans="1:9">
      <c r="A26">
        <v>24</v>
      </c>
      <c r="B26">
        <v>25</v>
      </c>
      <c r="C26" t="s">
        <v>97</v>
      </c>
      <c r="D26" t="s">
        <v>170</v>
      </c>
      <c r="E26" t="s">
        <v>6</v>
      </c>
      <c r="F26" t="s">
        <v>100</v>
      </c>
      <c r="G26" s="4">
        <v>185000</v>
      </c>
      <c r="H26" s="1">
        <v>44391</v>
      </c>
      <c r="I26" s="1">
        <v>40972</v>
      </c>
    </row>
    <row r="27" spans="1:9">
      <c r="A27">
        <v>25</v>
      </c>
      <c r="B27">
        <v>26</v>
      </c>
      <c r="C27" t="s">
        <v>101</v>
      </c>
      <c r="D27" t="s">
        <v>102</v>
      </c>
      <c r="E27" t="s">
        <v>6</v>
      </c>
      <c r="F27" t="s">
        <v>59</v>
      </c>
      <c r="G27" s="4">
        <v>195000</v>
      </c>
      <c r="H27" s="1">
        <v>44391</v>
      </c>
      <c r="I27" s="1">
        <v>40972</v>
      </c>
    </row>
    <row r="28" spans="1:9">
      <c r="A28">
        <v>26</v>
      </c>
      <c r="B28">
        <v>27</v>
      </c>
      <c r="C28" t="s">
        <v>103</v>
      </c>
      <c r="D28" t="s">
        <v>171</v>
      </c>
      <c r="E28" t="s">
        <v>6</v>
      </c>
      <c r="F28" t="s">
        <v>105</v>
      </c>
      <c r="G28" s="4">
        <v>205000</v>
      </c>
      <c r="H28" s="1">
        <v>44391</v>
      </c>
      <c r="I28" s="1">
        <v>40972</v>
      </c>
    </row>
    <row r="29" spans="1:9">
      <c r="A29">
        <v>27</v>
      </c>
      <c r="B29">
        <v>28</v>
      </c>
      <c r="C29" t="s">
        <v>106</v>
      </c>
      <c r="D29" t="s">
        <v>172</v>
      </c>
      <c r="E29" t="s">
        <v>2</v>
      </c>
      <c r="F29" t="s">
        <v>108</v>
      </c>
      <c r="G29" s="4">
        <v>225000</v>
      </c>
      <c r="H29" s="1">
        <v>44391</v>
      </c>
      <c r="I29" s="1">
        <v>40972</v>
      </c>
    </row>
    <row r="30" spans="1:9">
      <c r="A30">
        <v>27</v>
      </c>
      <c r="B30">
        <v>28</v>
      </c>
      <c r="C30" t="s">
        <v>106</v>
      </c>
      <c r="D30" t="s">
        <v>172</v>
      </c>
      <c r="E30" t="s">
        <v>173</v>
      </c>
      <c r="F30" t="s">
        <v>108</v>
      </c>
      <c r="G30" s="4">
        <v>225000</v>
      </c>
      <c r="H30" s="1">
        <v>44391</v>
      </c>
      <c r="I30" s="1">
        <v>40972</v>
      </c>
    </row>
    <row r="31" spans="1:9">
      <c r="A31">
        <v>28</v>
      </c>
      <c r="B31">
        <v>29</v>
      </c>
      <c r="C31" t="s">
        <v>109</v>
      </c>
      <c r="D31" t="s">
        <v>174</v>
      </c>
      <c r="E31" t="s">
        <v>6</v>
      </c>
      <c r="F31" t="s">
        <v>111</v>
      </c>
      <c r="G31" s="4">
        <v>235000</v>
      </c>
      <c r="H31" s="1">
        <v>44391</v>
      </c>
      <c r="I31" s="1">
        <v>40972</v>
      </c>
    </row>
    <row r="32" spans="1:9">
      <c r="A32">
        <v>29</v>
      </c>
      <c r="B32">
        <v>30</v>
      </c>
      <c r="C32" t="s">
        <v>111</v>
      </c>
      <c r="D32" t="s">
        <v>112</v>
      </c>
      <c r="E32" t="s">
        <v>6</v>
      </c>
      <c r="F32" t="s">
        <v>59</v>
      </c>
      <c r="G32" s="4">
        <v>245000</v>
      </c>
      <c r="H32" s="1">
        <v>44391</v>
      </c>
      <c r="I32" s="1">
        <v>40972</v>
      </c>
    </row>
    <row r="33" spans="1:9">
      <c r="A33">
        <v>30</v>
      </c>
      <c r="B33">
        <v>31</v>
      </c>
      <c r="C33" t="s">
        <v>113</v>
      </c>
      <c r="D33" t="s">
        <v>175</v>
      </c>
      <c r="E33" t="s">
        <v>6</v>
      </c>
      <c r="F33" t="s">
        <v>115</v>
      </c>
      <c r="G33" s="4">
        <v>255000</v>
      </c>
      <c r="H33" s="1">
        <v>44391</v>
      </c>
      <c r="I33" s="1">
        <v>40972</v>
      </c>
    </row>
    <row r="34" spans="1:9">
      <c r="A34">
        <v>31</v>
      </c>
      <c r="B34">
        <v>32</v>
      </c>
      <c r="C34" t="s">
        <v>116</v>
      </c>
      <c r="D34" t="s">
        <v>176</v>
      </c>
      <c r="E34" t="s">
        <v>2</v>
      </c>
      <c r="F34" t="s">
        <v>118</v>
      </c>
      <c r="G34" s="4">
        <v>265000</v>
      </c>
      <c r="H34" s="1">
        <v>44391</v>
      </c>
      <c r="I34" s="1">
        <v>40972</v>
      </c>
    </row>
    <row r="35" spans="1:9">
      <c r="A35">
        <v>32</v>
      </c>
      <c r="B35">
        <v>33</v>
      </c>
      <c r="C35" t="s">
        <v>119</v>
      </c>
      <c r="D35" t="s">
        <v>120</v>
      </c>
      <c r="E35" t="s">
        <v>2</v>
      </c>
      <c r="F35" t="s">
        <v>59</v>
      </c>
      <c r="G35" s="4">
        <v>275000</v>
      </c>
      <c r="H35" s="1">
        <v>44391</v>
      </c>
      <c r="I35" s="1">
        <v>40972</v>
      </c>
    </row>
    <row r="36" spans="1:9">
      <c r="A36">
        <v>33</v>
      </c>
      <c r="B36">
        <v>34</v>
      </c>
      <c r="C36" t="s">
        <v>121</v>
      </c>
      <c r="D36" t="s">
        <v>177</v>
      </c>
      <c r="E36" t="s">
        <v>6</v>
      </c>
      <c r="F36" t="s">
        <v>123</v>
      </c>
      <c r="G36" s="4">
        <v>285000</v>
      </c>
      <c r="H36" s="1">
        <v>44391</v>
      </c>
      <c r="I36" s="1">
        <v>40972</v>
      </c>
    </row>
    <row r="37" spans="1:9">
      <c r="A37">
        <v>34</v>
      </c>
      <c r="B37">
        <v>35</v>
      </c>
      <c r="C37" t="s">
        <v>124</v>
      </c>
      <c r="D37" t="s">
        <v>178</v>
      </c>
      <c r="E37" t="s">
        <v>2</v>
      </c>
      <c r="F37" t="s">
        <v>126</v>
      </c>
      <c r="G37" s="4">
        <v>295000</v>
      </c>
      <c r="H37" s="1">
        <v>44391</v>
      </c>
      <c r="I37" s="1">
        <v>40972</v>
      </c>
    </row>
    <row r="38" spans="1:9">
      <c r="A38">
        <v>35</v>
      </c>
      <c r="B38">
        <v>36</v>
      </c>
      <c r="C38" t="s">
        <v>126</v>
      </c>
      <c r="D38" t="s">
        <v>127</v>
      </c>
      <c r="E38" t="s">
        <v>2</v>
      </c>
      <c r="F38" t="s">
        <v>59</v>
      </c>
      <c r="G38" s="4">
        <v>305000</v>
      </c>
      <c r="H38" s="1">
        <v>44391</v>
      </c>
      <c r="I38" s="1">
        <v>40972</v>
      </c>
    </row>
    <row r="39" spans="1:9">
      <c r="A39">
        <v>36</v>
      </c>
      <c r="B39">
        <v>37</v>
      </c>
      <c r="C39" t="s">
        <v>123</v>
      </c>
      <c r="D39" t="s">
        <v>179</v>
      </c>
      <c r="E39" t="s">
        <v>6</v>
      </c>
      <c r="F39" t="s">
        <v>129</v>
      </c>
      <c r="G39" s="4">
        <v>315000</v>
      </c>
      <c r="H39" s="1">
        <v>44391</v>
      </c>
      <c r="I39" s="1">
        <v>40972</v>
      </c>
    </row>
    <row r="40" spans="1:9">
      <c r="A40">
        <v>37</v>
      </c>
      <c r="B40">
        <v>38</v>
      </c>
      <c r="C40" t="s">
        <v>130</v>
      </c>
      <c r="D40" t="s">
        <v>131</v>
      </c>
      <c r="E40" t="s">
        <v>6</v>
      </c>
      <c r="F40" t="s">
        <v>59</v>
      </c>
      <c r="G40" s="4">
        <v>325000</v>
      </c>
      <c r="H40" s="1">
        <v>44391</v>
      </c>
      <c r="I40" s="1">
        <v>40972</v>
      </c>
    </row>
    <row r="41" spans="1:9">
      <c r="A41">
        <v>38</v>
      </c>
      <c r="B41">
        <v>39</v>
      </c>
      <c r="C41" t="s">
        <v>132</v>
      </c>
      <c r="D41" t="s">
        <v>180</v>
      </c>
      <c r="E41" t="s">
        <v>2</v>
      </c>
      <c r="F41" t="s">
        <v>134</v>
      </c>
      <c r="G41" s="4">
        <v>335000</v>
      </c>
      <c r="H41" s="1">
        <v>44391</v>
      </c>
      <c r="I41" s="1">
        <v>40972</v>
      </c>
    </row>
    <row r="42" spans="1:9">
      <c r="A42">
        <v>39</v>
      </c>
      <c r="B42">
        <v>40</v>
      </c>
      <c r="C42" t="s">
        <v>135</v>
      </c>
      <c r="D42" t="s">
        <v>181</v>
      </c>
      <c r="E42" t="s">
        <v>6</v>
      </c>
      <c r="F42" t="s">
        <v>137</v>
      </c>
      <c r="G42" s="4">
        <v>345000</v>
      </c>
      <c r="H42" s="1">
        <v>44391</v>
      </c>
      <c r="I42" s="1">
        <v>40972</v>
      </c>
    </row>
    <row r="43" spans="1:9">
      <c r="A43">
        <v>40</v>
      </c>
      <c r="B43">
        <v>41</v>
      </c>
      <c r="C43" t="s">
        <v>137</v>
      </c>
      <c r="D43" t="s">
        <v>138</v>
      </c>
      <c r="E43" t="s">
        <v>6</v>
      </c>
      <c r="F43" t="s">
        <v>139</v>
      </c>
      <c r="G43" s="4">
        <v>355000</v>
      </c>
      <c r="H43" s="1">
        <v>44391</v>
      </c>
      <c r="I43" s="1">
        <v>40972</v>
      </c>
    </row>
    <row r="44" spans="1:9">
      <c r="A44">
        <v>41</v>
      </c>
      <c r="B44">
        <v>42</v>
      </c>
      <c r="C44" t="s">
        <v>140</v>
      </c>
      <c r="D44" t="s">
        <v>182</v>
      </c>
      <c r="E44" t="s">
        <v>2</v>
      </c>
      <c r="F44" t="s">
        <v>142</v>
      </c>
      <c r="G44" s="4">
        <v>365000</v>
      </c>
      <c r="H44" s="1">
        <v>44391</v>
      </c>
      <c r="I44" s="1">
        <v>40972</v>
      </c>
    </row>
    <row r="45" spans="1:9">
      <c r="A45">
        <v>42</v>
      </c>
      <c r="B45">
        <v>43</v>
      </c>
      <c r="C45" t="s">
        <v>143</v>
      </c>
      <c r="D45" t="s">
        <v>183</v>
      </c>
      <c r="E45" t="s">
        <v>6</v>
      </c>
      <c r="F45" t="s">
        <v>145</v>
      </c>
      <c r="G45" s="4">
        <v>375000</v>
      </c>
      <c r="H45" s="1">
        <v>44391</v>
      </c>
      <c r="I45" s="1">
        <v>40972</v>
      </c>
    </row>
    <row r="46" spans="1:9">
      <c r="A46">
        <v>43</v>
      </c>
      <c r="B46">
        <v>44</v>
      </c>
      <c r="C46" t="s">
        <v>146</v>
      </c>
      <c r="D46" t="s">
        <v>184</v>
      </c>
      <c r="E46" t="s">
        <v>2</v>
      </c>
      <c r="F46" t="s">
        <v>148</v>
      </c>
      <c r="G46" s="4">
        <v>395000</v>
      </c>
      <c r="H46" s="2">
        <v>44391</v>
      </c>
      <c r="I46" s="2">
        <v>43862</v>
      </c>
    </row>
    <row r="47" spans="1:9">
      <c r="A47">
        <v>43</v>
      </c>
      <c r="B47">
        <v>44</v>
      </c>
      <c r="C47" t="s">
        <v>146</v>
      </c>
      <c r="D47" t="s">
        <v>184</v>
      </c>
      <c r="E47" t="s">
        <v>2</v>
      </c>
      <c r="F47" t="s">
        <v>148</v>
      </c>
      <c r="G47" s="4">
        <v>395000</v>
      </c>
      <c r="H47" s="2">
        <v>44391</v>
      </c>
      <c r="I47" s="2">
        <v>43862</v>
      </c>
    </row>
    <row r="48" spans="1:9">
      <c r="A48">
        <v>44</v>
      </c>
      <c r="B48">
        <v>45</v>
      </c>
      <c r="C48" t="s">
        <v>149</v>
      </c>
      <c r="D48" t="s">
        <v>185</v>
      </c>
      <c r="E48" t="s">
        <v>186</v>
      </c>
      <c r="F48" t="s">
        <v>151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2022-02-27T01:14:16Z</dcterms:created>
  <dcterms:modified xsi:type="dcterms:W3CDTF">2026-04-15T19:45:15Z</dcterms:modified>
  <cp:category/>
  <cp:contentStatus/>
</cp:coreProperties>
</file>